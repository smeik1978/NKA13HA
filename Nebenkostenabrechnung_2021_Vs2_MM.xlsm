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tables/table1.xml" ContentType="application/vnd.openxmlformats-officedocument.spreadsheetml.table+xml"/>
  <Override PartName="/xl/styles.xml" ContentType="application/vnd.openxmlformats-officedocument.spreadsheetml.styles+xml"/>
  <Override PartName="/xl/worksheets/_rels/sheet1.xml.rels" ContentType="application/vnd.openxmlformats-package.relationships+xml"/>
  <Override PartName="/xl/worksheets/_rels/sheet10.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8"/>
  </bookViews>
  <sheets>
    <sheet name="Anleitung" sheetId="1" state="visible" r:id="rId3"/>
    <sheet name="NK Erstellen" sheetId="2" state="visible" r:id="rId4"/>
    <sheet name="Erfassung" sheetId="3" state="visible" r:id="rId5"/>
    <sheet name="Stammdaten" sheetId="4" state="visible" r:id="rId6"/>
    <sheet name="Wohnungen" sheetId="5" state="visible" r:id="rId7"/>
    <sheet name="Belegung" sheetId="6" state="visible" r:id="rId8"/>
    <sheet name="Template" sheetId="7" state="visible" r:id="rId9"/>
    <sheet name="Übersicht" sheetId="8" state="visible" r:id="rId10"/>
    <sheet name="Ablesung Strom " sheetId="9" state="visible" r:id="rId11"/>
    <sheet name="Ablesung ista &amp; Wasser" sheetId="10" state="visible" r:id="rId12"/>
    <sheet name="Hilfstabelle Ablesung" sheetId="11" state="hidden" r:id="rId13"/>
    <sheet name="Pivot-Tabelle_Ablesung ista &amp; W" sheetId="12" state="visible" r:id="rId14"/>
    <sheet name="Tabelle2" sheetId="13" state="visible" r:id="rId15"/>
    <sheet name="Tabelle1" sheetId="14" state="visible" r:id="rId16"/>
    <sheet name="Stromkorrektur" sheetId="15" state="hidden" r:id="rId17"/>
  </sheets>
  <definedNames>
    <definedName function="false" hidden="false" name="WE_ID" vbProcedure="false">Wohnungen!$B$3:$B$1048576</definedName>
    <definedName function="false" hidden="false" name="Wohnungsnummer" vbProcedure="false">Stammdaten!$C$2:$C$43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A31" authorId="0">
      <text>
        <r>
          <rPr>
            <sz val="11"/>
            <color rgb="FF000000"/>
            <rFont val="Arial"/>
            <family val="2"/>
            <charset val="1"/>
          </rPr>
          <t xml:space="preserve">Matthias Müller:
</t>
        </r>
        <r>
          <rPr>
            <sz val="9"/>
            <color rgb="FF000000"/>
            <rFont val="Segoe UI"/>
            <family val="2"/>
            <charset val="1"/>
          </rPr>
          <t xml:space="preserve">Das Makro hatte ich in LibreCalc laufen.
Hab es nicht nach Excel konvertiert.
Vielleicht mach ich es noch.
Ansonsten muss folgendes gemacht werden:
Blatt Template die ID der Mietpartei eingeben.
Drucken
Wiederholen für jede ID in der Tabelle Wohnungen
</t>
        </r>
      </text>
    </comment>
  </commentList>
</comments>
</file>

<file path=xl/sharedStrings.xml><?xml version="1.0" encoding="utf-8"?>
<sst xmlns="http://schemas.openxmlformats.org/spreadsheetml/2006/main" count="2289" uniqueCount="488">
  <si>
    <t xml:space="preserve">Anleitung</t>
  </si>
  <si>
    <t xml:space="preserve">Gelbe Felder müssen mit den aktuellen Werten befüllt werden.</t>
  </si>
  <si>
    <t xml:space="preserve">Die folgenden Tabellen müssen bearbeitet werden.</t>
  </si>
  <si>
    <t xml:space="preserve">Erfassung</t>
  </si>
  <si>
    <t xml:space="preserve">Hier werden die laufende des Jahres angefallenen umlagefähigen Rechnungen erfasst.</t>
  </si>
  <si>
    <t xml:space="preserve">Stammdaten</t>
  </si>
  <si>
    <t xml:space="preserve">Hier muss im Normalfall nur das Jahr für welches die Nebenkostenabrechnung gelten soll eingegeben werden.</t>
  </si>
  <si>
    <t xml:space="preserve">Wohnungen</t>
  </si>
  <si>
    <t xml:space="preserve">Hier muss die aktuelle Vorauszahlung für jede Wohnung eingetragen werden.</t>
  </si>
  <si>
    <t xml:space="preserve">Hat kein Mieterwechsel stattgefunden, ist hier nichts weiter zu tun.</t>
  </si>
  <si>
    <t xml:space="preserve">Andernfalls muss zur Zeit die ganze Tabelle von AG IT oder AG Finanzen angepasst werden. Oder halt eine Person, die in der Lage ist Zeilen einzufügen ohne die Formeln und Abhängigkeiten zu zerstören.</t>
  </si>
  <si>
    <t xml:space="preserve">Auch wenn sich die Anzahl der Wohneinheiten ändern solle (Ausbau oder Umbau) muss die Tabelle angepasst werden</t>
  </si>
  <si>
    <t xml:space="preserve">Ablesung Strom &amp; Fernwärme</t>
  </si>
  <si>
    <t xml:space="preserve">Kommt von CD, muss etwas manuell angepasst werden. Siehe letzte Jahre. Müsst ihr euch etwas reinfuchsen</t>
  </si>
  <si>
    <t xml:space="preserve">Ablesung ista und Wasser</t>
  </si>
  <si>
    <t xml:space="preserve">Hier müssen die bei der jährlichen Ablesung ermittelten Werte erfasst werden.</t>
  </si>
  <si>
    <t xml:space="preserve">Belegung</t>
  </si>
  <si>
    <t xml:space="preserve">Hier muss die Anzahl der Personen pro Wohnung und Monat erfasst werden.</t>
  </si>
  <si>
    <t xml:space="preserve">Dies wirkt sich auf die Verteilung der Allgemeinkosten aus.</t>
  </si>
  <si>
    <t xml:space="preserve">Button Tabellen erzeugen</t>
  </si>
  <si>
    <t xml:space="preserve">Der unten befindliche Button erzeugt die Nebenkostenabrechnungen für jede Mietpartei lt. Tabellenblatt „Wohnungen“</t>
  </si>
  <si>
    <t xml:space="preserve">Als Basis dient das Tabellenblatt „Template“</t>
  </si>
  <si>
    <t xml:space="preserve">Dieses dient zum Testen der Werte und anschließend als Vorlage für alle zu erzeugenden Tabellenblätter.</t>
  </si>
  <si>
    <t xml:space="preserve">Bitte keine Layout Änderungen durchführen.</t>
  </si>
  <si>
    <t xml:space="preserve">Sowohl die Tabelle Template (dient als Vorlage für Layout und Basis-Werte) als auch die einzelnen Tabellen für die Wohnungen basieren auf diesen Werten.</t>
  </si>
  <si>
    <t xml:space="preserve">Die in den Tabellen hinterlegten Formeln errechnen dann die Nebenkosten für jede Wohnung.</t>
  </si>
  <si>
    <t xml:space="preserve">Raum für Notizen</t>
  </si>
  <si>
    <t xml:space="preserve">Eine bestimmte Abrechnung drucken</t>
  </si>
  <si>
    <t xml:space="preserve">Bitte WEID eingeben und Button drücken</t>
  </si>
  <si>
    <t xml:space="preserve">Nebenkostenabrechnung speichern</t>
  </si>
  <si>
    <t xml:space="preserve">Bitte entweder "Alles" oder WEID angeben</t>
  </si>
  <si>
    <t xml:space="preserve">Alles</t>
  </si>
  <si>
    <t xml:space="preserve">Dateipfad</t>
  </si>
  <si>
    <t xml:space="preserve">C:\Users\fbgs1482\Desktop\NK 2019\Export\</t>
  </si>
  <si>
    <t xml:space="preserve">&lt;- Der Pfad MUSS bereits existieren und ZWINGEND mit \ enden</t>
  </si>
  <si>
    <t xml:space="preserve">Prefix</t>
  </si>
  <si>
    <t xml:space="preserve">Nebenkostenabrechnung 2019</t>
  </si>
  <si>
    <t xml:space="preserve">&lt;- Teil des Dateinamens. Steht vor der WE-ID. Beispiel "WE-00201.xls"</t>
  </si>
  <si>
    <t xml:space="preserve">Konto Lexware</t>
  </si>
  <si>
    <t xml:space="preserve">Typ</t>
  </si>
  <si>
    <t xml:space="preserve">Firma</t>
  </si>
  <si>
    <t xml:space="preserve">Turnus</t>
  </si>
  <si>
    <t xml:space="preserve">Betrag 2021</t>
  </si>
  <si>
    <t xml:space="preserve">Leistung</t>
  </si>
  <si>
    <t xml:space="preserve">Umlage</t>
  </si>
  <si>
    <t xml:space="preserve">Erfasst</t>
  </si>
  <si>
    <t xml:space="preserve">Betrag 2020</t>
  </si>
  <si>
    <t xml:space="preserve">Bemerkung 2019</t>
  </si>
  <si>
    <t xml:space="preserve"> </t>
  </si>
  <si>
    <t xml:space="preserve">Aufzug</t>
  </si>
  <si>
    <t xml:space="preserve">ABD Notrufzentrale</t>
  </si>
  <si>
    <t xml:space="preserve"> 1x jährlich</t>
  </si>
  <si>
    <t xml:space="preserve">Aufschaltung &amp; Bereitstellungspauschale</t>
  </si>
  <si>
    <t xml:space="preserve">x</t>
  </si>
  <si>
    <t xml:space="preserve">Entspricht exakt den Kosten von2019, 2018 u 2017</t>
  </si>
  <si>
    <t xml:space="preserve">Gebühren für SIM-Karte</t>
  </si>
  <si>
    <t xml:space="preserve">Entspricht exakt den Kosten von2019 und  2018</t>
  </si>
  <si>
    <t xml:space="preserve">Lang Aufzugservice</t>
  </si>
  <si>
    <t xml:space="preserve">2x Wartung / Jahr</t>
  </si>
  <si>
    <t xml:space="preserve">4 Rechnungen</t>
  </si>
  <si>
    <t xml:space="preserve">Entspricht exakt den Kosten von 2018</t>
  </si>
  <si>
    <t xml:space="preserve">TÜV- Prüfung</t>
  </si>
  <si>
    <t xml:space="preserve">Alle 2 Jahre</t>
  </si>
  <si>
    <t xml:space="preserve">TÜV-Prüfung</t>
  </si>
  <si>
    <t xml:space="preserve">HSL</t>
  </si>
  <si>
    <t xml:space="preserve">Schöffel GmbH &amp; Co. KG</t>
  </si>
  <si>
    <t xml:space="preserve">1x jährlich</t>
  </si>
  <si>
    <t xml:space="preserve">Wartung Fernheizung, Enthärtungsanlage, Hebeanlage, TW-Speicher, Reparatur Druckgefäß</t>
  </si>
  <si>
    <t xml:space="preserve">Entspricht exakt den Kosten von 2018 u 2017, 761,60 € in 2019</t>
  </si>
  <si>
    <t xml:space="preserve">RWA</t>
  </si>
  <si>
    <t xml:space="preserve">Tyco / Total</t>
  </si>
  <si>
    <t xml:space="preserve">Inspektion, Wartung Rauchwarnanlage</t>
  </si>
  <si>
    <t xml:space="preserve">235,62 € im Jahr 2018241,60 € in 2019</t>
  </si>
  <si>
    <t xml:space="preserve">Versicherung</t>
  </si>
  <si>
    <t xml:space="preserve">Helvetia Versicherung / Lurz &amp; Hölscher</t>
  </si>
  <si>
    <t xml:space="preserve">Gebäudeversicherung komplett (zuvor 3 Positionen, Gesamtbetrag plausibel)</t>
  </si>
  <si>
    <t xml:space="preserve">Vorjahr 3640,09</t>
  </si>
  <si>
    <t xml:space="preserve">Haftpflicht</t>
  </si>
  <si>
    <t xml:space="preserve">2019 gleich</t>
  </si>
  <si>
    <t xml:space="preserve">jetzt als Gesamtbetrag</t>
  </si>
  <si>
    <t xml:space="preserve">Wasser</t>
  </si>
  <si>
    <t xml:space="preserve">MVV Wasser</t>
  </si>
  <si>
    <t xml:space="preserve">Jährliche Summe </t>
  </si>
  <si>
    <t xml:space="preserve">Jahresabrechnung</t>
  </si>
  <si>
    <t xml:space="preserve">2018: 2514,65 + 2521,20; 2019: 5020,91</t>
  </si>
  <si>
    <t xml:space="preserve">Verbrauch lt. Rechnung m³</t>
  </si>
  <si>
    <t xml:space="preserve">m³ Verbrauch</t>
  </si>
  <si>
    <t xml:space="preserve">??? + 1121; 2019: 2206</t>
  </si>
  <si>
    <t xml:space="preserve">Schmutzwasser</t>
  </si>
  <si>
    <t xml:space="preserve">2018: 2323,73 + 2323,92; 2019: 4454,71</t>
  </si>
  <si>
    <t xml:space="preserve">Menge m³</t>
  </si>
  <si>
    <t xml:space="preserve">2018: 1118 + 1121</t>
  </si>
  <si>
    <t xml:space="preserve">Niederschlagswasser</t>
  </si>
  <si>
    <t xml:space="preserve">01.01. bis 31.12.21</t>
  </si>
  <si>
    <t xml:space="preserve">Jahresabrechnung in Schmutzwasser enthalten</t>
  </si>
  <si>
    <t xml:space="preserve">2018: 445,49</t>
  </si>
  <si>
    <t xml:space="preserve">2018: 1091, 2019 nicht gesondert ausgewiesen</t>
  </si>
  <si>
    <t xml:space="preserve">Zwischenabrechnung</t>
  </si>
  <si>
    <t xml:space="preserve">2018: 438,22</t>
  </si>
  <si>
    <t xml:space="preserve">Heizung</t>
  </si>
  <si>
    <t xml:space="preserve">MVV Fernwärme 02.01. bis 31.12.</t>
  </si>
  <si>
    <t xml:space="preserve">2018: 12082,37 + 10638,9; 2019: 24,366,81</t>
  </si>
  <si>
    <t xml:space="preserve">Verbrauch Mwh</t>
  </si>
  <si>
    <t xml:space="preserve">2018: 149,44 + 105,37; 2019 258,18</t>
  </si>
  <si>
    <t xml:space="preserve">MVV Fernwärme 30.06. bis 31.12.</t>
  </si>
  <si>
    <t xml:space="preserve">Strom</t>
  </si>
  <si>
    <t xml:space="preserve">Bürgerwerke Strom 01.01. bis 31.12.</t>
  </si>
  <si>
    <t xml:space="preserve">Jahresabrechnung Bürgerwerke</t>
  </si>
  <si>
    <t xml:space="preserve">13.537,19 € im jahr 2018, 14.563,05 € in 2019</t>
  </si>
  <si>
    <t xml:space="preserve">Verbrauch lt. Rechnung kWh</t>
  </si>
  <si>
    <t xml:space="preserve">55728 im Jahr 2018</t>
  </si>
  <si>
    <t xml:space="preserve">Bürgerwerke Strom 01.07. bis 31.12</t>
  </si>
  <si>
    <t xml:space="preserve">Keine Zwischenrechnungen mehr, daher hier nichts eingetragen</t>
  </si>
  <si>
    <t xml:space="preserve">Grundsteuer</t>
  </si>
  <si>
    <t xml:space="preserve">Stadt Mannheim</t>
  </si>
  <si>
    <t xml:space="preserve">enthält 2 Säumnisgebühren, insges. Ca. 32 €</t>
  </si>
  <si>
    <t xml:space="preserve">Kabel-TV / Hausantenne</t>
  </si>
  <si>
    <t xml:space="preserve">Rehnig BAK Kabelfernsehen</t>
  </si>
  <si>
    <t xml:space="preserve">Rehnig Miete Breitbandverteilanlage</t>
  </si>
  <si>
    <t xml:space="preserve">3.424,77 € Vorjahr2019</t>
  </si>
  <si>
    <t xml:space="preserve">Müll</t>
  </si>
  <si>
    <t xml:space="preserve">Müllentsorgung</t>
  </si>
  <si>
    <t xml:space="preserve">2018: 2818,8 ; 2019: 3105.60</t>
  </si>
  <si>
    <t xml:space="preserve">Schädlingsbekämpfung</t>
  </si>
  <si>
    <t xml:space="preserve">DECONTA GmbH</t>
  </si>
  <si>
    <t xml:space="preserve">Bei Bedarf</t>
  </si>
  <si>
    <t xml:space="preserve">Bekämpfung orientalische Schabe in Heizungskeller, Waschraum, Flur</t>
  </si>
  <si>
    <t xml:space="preserve">630,70 € in 2019</t>
  </si>
  <si>
    <t xml:space="preserve">NEBILY GmbH</t>
  </si>
  <si>
    <t xml:space="preserve">Detmol Lack Spray</t>
  </si>
  <si>
    <t xml:space="preserve"> 261,89 € im Jahr 2018</t>
  </si>
  <si>
    <t xml:space="preserve">Salz KCW -Chemie</t>
  </si>
  <si>
    <t xml:space="preserve">Erstattung Abwasser Garten</t>
  </si>
  <si>
    <t xml:space="preserve">2019: -260,40 €</t>
  </si>
  <si>
    <t xml:space="preserve">Kostenart</t>
  </si>
  <si>
    <t xml:space="preserve">Werte</t>
  </si>
  <si>
    <t xml:space="preserve">Grundlegende Berechnungen</t>
  </si>
  <si>
    <t xml:space="preserve">Jahr</t>
  </si>
  <si>
    <t xml:space="preserve">Abrechnungszeitraum</t>
  </si>
  <si>
    <t xml:space="preserve">Frischwasser</t>
  </si>
  <si>
    <t xml:space="preserve">Wohnfläche m²</t>
  </si>
  <si>
    <t xml:space="preserve">Tage</t>
  </si>
  <si>
    <t xml:space="preserve">Wohneinheiten</t>
  </si>
  <si>
    <t xml:space="preserve">Wasserverbrauch Gesamt m³</t>
  </si>
  <si>
    <t xml:space="preserve">Wasserverbrauch Wohnungen m³</t>
  </si>
  <si>
    <t xml:space="preserve">Warmwasser</t>
  </si>
  <si>
    <t xml:space="preserve">Stromverbrauch Gesamt kw/h</t>
  </si>
  <si>
    <t xml:space="preserve">Wasserverbrauch Gemeinschaft m³</t>
  </si>
  <si>
    <t xml:space="preserve">Heizkosten Gesamt</t>
  </si>
  <si>
    <t xml:space="preserve">Stromkosten Gesamt</t>
  </si>
  <si>
    <t xml:space="preserve">Wasserpreis m³</t>
  </si>
  <si>
    <t xml:space="preserve">Strom Gemeinschaft</t>
  </si>
  <si>
    <t xml:space="preserve">Fernwärmekosten (€/MWh)</t>
  </si>
  <si>
    <t xml:space="preserve">Kosten Schmutzwasser m³</t>
  </si>
  <si>
    <t xml:space="preserve">Strom Wohnung</t>
  </si>
  <si>
    <t xml:space="preserve">Kosten Niederschlagswasser m³</t>
  </si>
  <si>
    <t xml:space="preserve">Aufzug Wartung</t>
  </si>
  <si>
    <t xml:space="preserve">Wasserpreis (Gesamt) m³</t>
  </si>
  <si>
    <t xml:space="preserve">Verbrauch Warmwasser m³</t>
  </si>
  <si>
    <t xml:space="preserve">Gebäudeversicherungen</t>
  </si>
  <si>
    <t xml:space="preserve">Mittlere Temperatur Warmwasser °C</t>
  </si>
  <si>
    <t xml:space="preserve">Straßenreinigung &amp; Müllabfuhr</t>
  </si>
  <si>
    <t xml:space="preserve">Warmwasseranteil Fernwärme Mwh</t>
  </si>
  <si>
    <t xml:space="preserve">Gebäudereinigung &amp; Ungeziefer</t>
  </si>
  <si>
    <t xml:space="preserve">Fernwärme Verbrauch Gesamt Mwh</t>
  </si>
  <si>
    <t xml:space="preserve">Heizkostenanteil Fernwärme Mwh</t>
  </si>
  <si>
    <t xml:space="preserve">Sonstige Wartungskosten</t>
  </si>
  <si>
    <t xml:space="preserve">Heizkosten Gemeinschaftsfläche</t>
  </si>
  <si>
    <t xml:space="preserve">Strompreis</t>
  </si>
  <si>
    <t xml:space="preserve">Kosten Fernwärme</t>
  </si>
  <si>
    <t xml:space="preserve">Warmwasserkosten</t>
  </si>
  <si>
    <t xml:space="preserve">Warmwasserpreis €/m³</t>
  </si>
  <si>
    <t xml:space="preserve">Strompreis €/kWh</t>
  </si>
  <si>
    <t xml:space="preserve">Stromsteuer €/kWh</t>
  </si>
  <si>
    <t xml:space="preserve">Grundpreis €/Monat</t>
  </si>
  <si>
    <t xml:space="preserve">Allgemeinwärme (ISTA)</t>
  </si>
  <si>
    <t xml:space="preserve">Kosten Allgemeinwärme</t>
  </si>
  <si>
    <t xml:space="preserve">Prozentsatz Vorauszahlung</t>
  </si>
  <si>
    <t xml:space="preserve">Plausibilitätsüberprüfung</t>
  </si>
  <si>
    <t xml:space="preserve">Differenz Verbrauch Wasser MVV vs. Ablesung</t>
  </si>
  <si>
    <t xml:space="preserve">Anzahl Vermietungen</t>
  </si>
  <si>
    <t xml:space="preserve">Aktuelle Vorauszahlung</t>
  </si>
  <si>
    <t xml:space="preserve">Neue Vorauszahlung</t>
  </si>
  <si>
    <t xml:space="preserve">Stockwerk</t>
  </si>
  <si>
    <t xml:space="preserve">WE-ID</t>
  </si>
  <si>
    <t xml:space="preserve">Nummer</t>
  </si>
  <si>
    <t xml:space="preserve">Bewohner</t>
  </si>
  <si>
    <t xml:space="preserve">Mietbeginn</t>
  </si>
  <si>
    <t xml:space="preserve">Mietende</t>
  </si>
  <si>
    <t xml:space="preserve">Anzahl Tage</t>
  </si>
  <si>
    <t xml:space="preserve">Wohnflächen</t>
  </si>
  <si>
    <t xml:space="preserve">Personen</t>
  </si>
  <si>
    <t xml:space="preserve">Monat</t>
  </si>
  <si>
    <t xml:space="preserve">Anzahl</t>
  </si>
  <si>
    <t xml:space="preserve">Gesamt</t>
  </si>
  <si>
    <t xml:space="preserve">Kaltwasser m³</t>
  </si>
  <si>
    <t xml:space="preserve">Warmwasser m³</t>
  </si>
  <si>
    <t xml:space="preserve">Verbrauch ista</t>
  </si>
  <si>
    <t xml:space="preserve">Nach-/Rückzahlung</t>
  </si>
  <si>
    <t xml:space="preserve">Benötigt</t>
  </si>
  <si>
    <t xml:space="preserve">empfohlen</t>
  </si>
  <si>
    <t xml:space="preserve">Diff. zu Abschlag alt</t>
  </si>
  <si>
    <t xml:space="preserve">Wohnung</t>
  </si>
  <si>
    <t xml:space="preserve">EG</t>
  </si>
  <si>
    <t xml:space="preserve">00101</t>
  </si>
  <si>
    <t xml:space="preserve">0.1</t>
  </si>
  <si>
    <t xml:space="preserve">Ben Hertrampf B.A.</t>
  </si>
  <si>
    <t xml:space="preserve">00201</t>
  </si>
  <si>
    <t xml:space="preserve">0.2</t>
  </si>
  <si>
    <t xml:space="preserve">Prof. Antje Hamann</t>
  </si>
  <si>
    <t xml:space="preserve">00202</t>
  </si>
  <si>
    <t xml:space="preserve">Diethelm Schaaf</t>
  </si>
  <si>
    <t xml:space="preserve">00302</t>
  </si>
  <si>
    <t xml:space="preserve">0.3</t>
  </si>
  <si>
    <t xml:space="preserve">Simone Heintze</t>
  </si>
  <si>
    <t xml:space="preserve">00303</t>
  </si>
  <si>
    <t xml:space="preserve">Sandro Junk</t>
  </si>
  <si>
    <t xml:space="preserve">00402</t>
  </si>
  <si>
    <t xml:space="preserve">0.4</t>
  </si>
  <si>
    <t xml:space="preserve">Marisa Bachmann</t>
  </si>
  <si>
    <t xml:space="preserve">00503</t>
  </si>
  <si>
    <t xml:space="preserve">0.5</t>
  </si>
  <si>
    <t xml:space="preserve">Danuta Langern-Mühle</t>
  </si>
  <si>
    <t xml:space="preserve">00504</t>
  </si>
  <si>
    <t xml:space="preserve">Ellen Bohlander MBA.</t>
  </si>
  <si>
    <t xml:space="preserve">00601</t>
  </si>
  <si>
    <t xml:space="preserve">0.6</t>
  </si>
  <si>
    <t xml:space="preserve">Bernadette Koch II</t>
  </si>
  <si>
    <t xml:space="preserve">00701</t>
  </si>
  <si>
    <t xml:space="preserve">0.7</t>
  </si>
  <si>
    <t xml:space="preserve">Christl Wilms</t>
  </si>
  <si>
    <t xml:space="preserve">00803</t>
  </si>
  <si>
    <t xml:space="preserve">0.8</t>
  </si>
  <si>
    <t xml:space="preserve">Birte Lange-Ullrich</t>
  </si>
  <si>
    <t xml:space="preserve">1. OG</t>
  </si>
  <si>
    <t xml:space="preserve">10102</t>
  </si>
  <si>
    <t xml:space="preserve">1.1.</t>
  </si>
  <si>
    <t xml:space="preserve">Kathi Sager</t>
  </si>
  <si>
    <t xml:space="preserve">10201</t>
  </si>
  <si>
    <t xml:space="preserve">1.2</t>
  </si>
  <si>
    <t xml:space="preserve">Kurt Kabus</t>
  </si>
  <si>
    <t xml:space="preserve">10301</t>
  </si>
  <si>
    <t xml:space="preserve">1.3</t>
  </si>
  <si>
    <t xml:space="preserve">Mirjana Schulz MBA.</t>
  </si>
  <si>
    <t xml:space="preserve">10402</t>
  </si>
  <si>
    <t xml:space="preserve">1.4.</t>
  </si>
  <si>
    <t xml:space="preserve">Sibylle Zobel</t>
  </si>
  <si>
    <t xml:space="preserve">10501</t>
  </si>
  <si>
    <t xml:space="preserve">1.5</t>
  </si>
  <si>
    <t xml:space="preserve">Witold Ruppersberger</t>
  </si>
  <si>
    <t xml:space="preserve">10601</t>
  </si>
  <si>
    <t xml:space="preserve">1.6</t>
  </si>
  <si>
    <t xml:space="preserve">Jochen Preiß</t>
  </si>
  <si>
    <t xml:space="preserve">10701</t>
  </si>
  <si>
    <t xml:space="preserve">1.7</t>
  </si>
  <si>
    <t xml:space="preserve">Ulla Bachmann</t>
  </si>
  <si>
    <t xml:space="preserve">2. OG</t>
  </si>
  <si>
    <t xml:space="preserve">20101</t>
  </si>
  <si>
    <t xml:space="preserve">2.1</t>
  </si>
  <si>
    <t xml:space="preserve">Univ.Prof. Reza Sauer</t>
  </si>
  <si>
    <t xml:space="preserve">20201</t>
  </si>
  <si>
    <t xml:space="preserve">2.2</t>
  </si>
  <si>
    <t xml:space="preserve">Wolf-Rüdiger Scholtz</t>
  </si>
  <si>
    <t xml:space="preserve">20301</t>
  </si>
  <si>
    <t xml:space="preserve">2.3</t>
  </si>
  <si>
    <t xml:space="preserve">Dipl.-Ing. Mohammad Schmiedt B.A.</t>
  </si>
  <si>
    <t xml:space="preserve">20401</t>
  </si>
  <si>
    <t xml:space="preserve">2.4</t>
  </si>
  <si>
    <t xml:space="preserve">Prof. Stephanie Linke</t>
  </si>
  <si>
    <t xml:space="preserve">20501</t>
  </si>
  <si>
    <t xml:space="preserve">2.5</t>
  </si>
  <si>
    <t xml:space="preserve">Jaroslav Misicher</t>
  </si>
  <si>
    <t xml:space="preserve">20602</t>
  </si>
  <si>
    <t xml:space="preserve">2.6</t>
  </si>
  <si>
    <t xml:space="preserve">Eckhardt Dörr</t>
  </si>
  <si>
    <t xml:space="preserve">20701</t>
  </si>
  <si>
    <t xml:space="preserve">2.7</t>
  </si>
  <si>
    <t xml:space="preserve">Traute Vollbrecht-Werner</t>
  </si>
  <si>
    <t xml:space="preserve">20801</t>
  </si>
  <si>
    <t xml:space="preserve">2.8</t>
  </si>
  <si>
    <t xml:space="preserve">Prof. Michaela Rogge</t>
  </si>
  <si>
    <t xml:space="preserve">20901</t>
  </si>
  <si>
    <t xml:space="preserve">2.9</t>
  </si>
  <si>
    <t xml:space="preserve">Rupert Riehl</t>
  </si>
  <si>
    <t xml:space="preserve">20902</t>
  </si>
  <si>
    <t xml:space="preserve">Dr. Katarzyna Haering</t>
  </si>
  <si>
    <t xml:space="preserve">21001</t>
  </si>
  <si>
    <t xml:space="preserve">2.10</t>
  </si>
  <si>
    <t xml:space="preserve">Margit Trupp</t>
  </si>
  <si>
    <t xml:space="preserve">21002</t>
  </si>
  <si>
    <t xml:space="preserve">Hans-Karl Schleich MBA.</t>
  </si>
  <si>
    <t xml:space="preserve">3. OG</t>
  </si>
  <si>
    <t xml:space="preserve">30101</t>
  </si>
  <si>
    <t xml:space="preserve">3.1</t>
  </si>
  <si>
    <t xml:space="preserve">Frau Helena Scholz B.Eng.</t>
  </si>
  <si>
    <t xml:space="preserve">30201</t>
  </si>
  <si>
    <t xml:space="preserve">3.2</t>
  </si>
  <si>
    <t xml:space="preserve">Univ.Prof. Karl-Hans Ernst B.Sc.</t>
  </si>
  <si>
    <t xml:space="preserve">30301</t>
  </si>
  <si>
    <t xml:space="preserve">3.3</t>
  </si>
  <si>
    <t xml:space="preserve">Jörg Hesse</t>
  </si>
  <si>
    <t xml:space="preserve">30402</t>
  </si>
  <si>
    <t xml:space="preserve">3.4</t>
  </si>
  <si>
    <t xml:space="preserve">Aenne Wohlgemut-Möchlichen</t>
  </si>
  <si>
    <t xml:space="preserve">  </t>
  </si>
  <si>
    <t xml:space="preserve">SUMME</t>
  </si>
  <si>
    <t xml:space="preserve">ID</t>
  </si>
  <si>
    <t xml:space="preserve">Whg</t>
  </si>
  <si>
    <t xml:space="preserve">Jan</t>
  </si>
  <si>
    <t xml:space="preserve">Feb</t>
  </si>
  <si>
    <t xml:space="preserve">März</t>
  </si>
  <si>
    <t xml:space="preserve">Apr</t>
  </si>
  <si>
    <t xml:space="preserve">Mai</t>
  </si>
  <si>
    <t xml:space="preserve">Juni</t>
  </si>
  <si>
    <t xml:space="preserve">Juli</t>
  </si>
  <si>
    <t xml:space="preserve">Aug</t>
  </si>
  <si>
    <t xml:space="preserve">Sep</t>
  </si>
  <si>
    <t xml:space="preserve">Okt</t>
  </si>
  <si>
    <t xml:space="preserve">Nov</t>
  </si>
  <si>
    <t xml:space="preserve">Dez</t>
  </si>
  <si>
    <t xml:space="preserve">Schnitt / Jahr</t>
  </si>
  <si>
    <t xml:space="preserve">CD</t>
  </si>
  <si>
    <t xml:space="preserve">Matthias</t>
  </si>
  <si>
    <t xml:space="preserve">Arne</t>
  </si>
  <si>
    <t xml:space="preserve">Veronika</t>
  </si>
  <si>
    <t xml:space="preserve">Ina und Stephan</t>
  </si>
  <si>
    <t xml:space="preserve">Kornelia</t>
  </si>
  <si>
    <t xml:space="preserve">Basti</t>
  </si>
  <si>
    <t xml:space="preserve">Matthias Müller</t>
  </si>
  <si>
    <t xml:space="preserve">Petra, Eric, Max</t>
  </si>
  <si>
    <t xml:space="preserve">Maria</t>
  </si>
  <si>
    <t xml:space="preserve">Kathin Grebe</t>
  </si>
  <si>
    <t xml:space="preserve">1.1</t>
  </si>
  <si>
    <t xml:space="preserve">Alkhalaf</t>
  </si>
  <si>
    <t xml:space="preserve">Klaus</t>
  </si>
  <si>
    <t xml:space="preserve">Volker, Evelyn</t>
  </si>
  <si>
    <t xml:space="preserve">1.4</t>
  </si>
  <si>
    <t xml:space="preserve">Tanja Münzer und Michel Bader</t>
  </si>
  <si>
    <t xml:space="preserve">Barbara, Carmen, Charlotte</t>
  </si>
  <si>
    <t xml:space="preserve">Daniela, Karim</t>
  </si>
  <si>
    <t xml:space="preserve">Sarah, Thomas, Greta, Lorenz</t>
  </si>
  <si>
    <t xml:space="preserve">Jörde</t>
  </si>
  <si>
    <t xml:space="preserve">Edna, Kathrin</t>
  </si>
  <si>
    <t xml:space="preserve">Nicole, Johannes</t>
  </si>
  <si>
    <t xml:space="preserve">Gabi, Peter</t>
  </si>
  <si>
    <t xml:space="preserve">Carolin, Amjad</t>
  </si>
  <si>
    <t xml:space="preserve">Tati, Luca und Steffen</t>
  </si>
  <si>
    <t xml:space="preserve">Britta, Dani, Birgit, Ina</t>
  </si>
  <si>
    <t xml:space="preserve">Stefan</t>
  </si>
  <si>
    <t xml:space="preserve">Markus</t>
  </si>
  <si>
    <t xml:space="preserve">Kirsten</t>
  </si>
  <si>
    <t xml:space="preserve">Achim, Pia</t>
  </si>
  <si>
    <t xml:space="preserve">Carolyn, Thomas, Yael, Nuri</t>
  </si>
  <si>
    <t xml:space="preserve">Melanie, Stephie, Dario, Rossana, Mara</t>
  </si>
  <si>
    <t xml:space="preserve">Leila,Musa, Ulf, Valentin</t>
  </si>
  <si>
    <t xml:space="preserve">Tilll, Isi, Ida</t>
  </si>
  <si>
    <t xml:space="preserve">Selma, Lasse und Lukas</t>
  </si>
  <si>
    <t xml:space="preserve">Summe</t>
  </si>
  <si>
    <t xml:space="preserve">Hier muss für jede Wohnung die Anzahl der Personen / Monat erfasst werden.</t>
  </si>
  <si>
    <t xml:space="preserve">Name</t>
  </si>
  <si>
    <t xml:space="preserve">Gesamtkosten</t>
  </si>
  <si>
    <t xml:space="preserve">Abrechnungzeitraum:</t>
  </si>
  <si>
    <t xml:space="preserve">Vorauszahlung</t>
  </si>
  <si>
    <t xml:space="preserve">Nutzungsdauer:</t>
  </si>
  <si>
    <t xml:space="preserve">Von</t>
  </si>
  <si>
    <t xml:space="preserve">Bis</t>
  </si>
  <si>
    <t xml:space="preserve">Verteilt nach</t>
  </si>
  <si>
    <t xml:space="preserve">Gesamteinheiten</t>
  </si>
  <si>
    <t xml:space="preserve">Dein Anteil</t>
  </si>
  <si>
    <t xml:space="preserve">Einheit</t>
  </si>
  <si>
    <t xml:space="preserve">Anteil / €</t>
  </si>
  <si>
    <t xml:space="preserve">Verbrauch lt. Zähler</t>
  </si>
  <si>
    <t xml:space="preserve">m³</t>
  </si>
  <si>
    <t xml:space="preserve">Personen x Tage</t>
  </si>
  <si>
    <t xml:space="preserve">P x T</t>
  </si>
  <si>
    <t xml:space="preserve">Heizkosten Wohnung</t>
  </si>
  <si>
    <t xml:space="preserve">Ista Einheiten</t>
  </si>
  <si>
    <t xml:space="preserve">Heizkosten Gemeinschaft</t>
  </si>
  <si>
    <t xml:space="preserve">kw/h</t>
  </si>
  <si>
    <t xml:space="preserve">Gebäudeversicherung</t>
  </si>
  <si>
    <t xml:space="preserve">Wohneinheit</t>
  </si>
  <si>
    <t xml:space="preserve">Zusammensetzung des Umlageschlüssels Personen x Tage siehe Anlage</t>
  </si>
  <si>
    <t xml:space="preserve">Beinhaltet auch das Notrufsystem, Feuerschutzanlage sowie Wasserenthärtungsanlage</t>
  </si>
  <si>
    <t xml:space="preserve">Guthaben</t>
  </si>
  <si>
    <t xml:space="preserve">Stromablesung zum 01.01. 2020</t>
  </si>
  <si>
    <t xml:space="preserve">Stand  ab 05.02.2016</t>
  </si>
  <si>
    <t xml:space="preserve">(Anfangsbestand)</t>
  </si>
  <si>
    <t xml:space="preserve">(Endbestand)</t>
  </si>
  <si>
    <t xml:space="preserve">Endstand</t>
  </si>
  <si>
    <t xml:space="preserve">Zählernummer</t>
  </si>
  <si>
    <t xml:space="preserve">Stand Stichtag</t>
  </si>
  <si>
    <t xml:space="preserve">Stand 2018</t>
  </si>
  <si>
    <t xml:space="preserve">Stand 1.1.2019</t>
  </si>
  <si>
    <t xml:space="preserve">Verbrauch</t>
  </si>
  <si>
    <t xml:space="preserve">Stand 4.1.2020</t>
  </si>
  <si>
    <t xml:space="preserve">Stand 1.1.2021</t>
  </si>
  <si>
    <t xml:space="preserve">Verbrauch 2020</t>
  </si>
  <si>
    <t xml:space="preserve">Stand 2021</t>
  </si>
  <si>
    <t xml:space="preserve">Verbrauch 2021</t>
  </si>
  <si>
    <t xml:space="preserve">Wasser insgesamt</t>
  </si>
  <si>
    <t xml:space="preserve">Strom insgesamt</t>
  </si>
  <si>
    <t xml:space="preserve">Fernwärme</t>
  </si>
  <si>
    <t xml:space="preserve">40124</t>
  </si>
  <si>
    <t xml:space="preserve">40127</t>
  </si>
  <si>
    <t xml:space="preserve">40115</t>
  </si>
  <si>
    <t xml:space="preserve">40146</t>
  </si>
  <si>
    <t xml:space="preserve">40125</t>
  </si>
  <si>
    <t xml:space="preserve">40152</t>
  </si>
  <si>
    <t xml:space="preserve">40129</t>
  </si>
  <si>
    <t xml:space="preserve">40136</t>
  </si>
  <si>
    <t xml:space="preserve">40138</t>
  </si>
  <si>
    <t xml:space="preserve">in Prozent</t>
  </si>
  <si>
    <t xml:space="preserve">Summe Wohnungen</t>
  </si>
  <si>
    <t xml:space="preserve">Waschraum, Allgemeinstrom</t>
  </si>
  <si>
    <t xml:space="preserve">Gemeinschaftsraum</t>
  </si>
  <si>
    <t xml:space="preserve">Küche</t>
  </si>
  <si>
    <t xml:space="preserve">Bäder</t>
  </si>
  <si>
    <t xml:space="preserve">Allgemeinlampen</t>
  </si>
  <si>
    <t xml:space="preserve">Treppenhaus</t>
  </si>
  <si>
    <t xml:space="preserve">Hebeanlage</t>
  </si>
  <si>
    <t xml:space="preserve">Pumpen</t>
  </si>
  <si>
    <t xml:space="preserve">Fahrstuhl</t>
  </si>
  <si>
    <t xml:space="preserve">Büro</t>
  </si>
  <si>
    <t xml:space="preserve">Kellerräume</t>
  </si>
  <si>
    <t xml:space="preserve">Handwerkerstrom</t>
  </si>
  <si>
    <t xml:space="preserve">Raum</t>
  </si>
  <si>
    <t xml:space="preserve">Seriennummer</t>
  </si>
  <si>
    <t xml:space="preserve">Wert 31.12.2021</t>
  </si>
  <si>
    <t xml:space="preserve">Wert 31.12.2020</t>
  </si>
  <si>
    <t xml:space="preserve">Verbrauch Kaltwasser</t>
  </si>
  <si>
    <t xml:space="preserve">Verbrauch Warm</t>
  </si>
  <si>
    <t xml:space="preserve">Verbrauch Ista</t>
  </si>
  <si>
    <t xml:space="preserve">Wohnzimmer</t>
  </si>
  <si>
    <t xml:space="preserve">ista</t>
  </si>
  <si>
    <t xml:space="preserve">Schlafen</t>
  </si>
  <si>
    <t xml:space="preserve">Bad</t>
  </si>
  <si>
    <t xml:space="preserve">Kaltwasser</t>
  </si>
  <si>
    <t xml:space="preserve">558,000</t>
  </si>
  <si>
    <t xml:space="preserve">Kinderzimmer</t>
  </si>
  <si>
    <t xml:space="preserve">WC</t>
  </si>
  <si>
    <t xml:space="preserve">602560582</t>
  </si>
  <si>
    <t xml:space="preserve">Zimmer 1</t>
  </si>
  <si>
    <t xml:space="preserve">Zimmer 3</t>
  </si>
  <si>
    <t xml:space="preserve">Bad </t>
  </si>
  <si>
    <t xml:space="preserve">Zimmer 2</t>
  </si>
  <si>
    <t xml:space="preserve">Bad unten</t>
  </si>
  <si>
    <t xml:space="preserve">Zimmer 4</t>
  </si>
  <si>
    <t xml:space="preserve">548619955</t>
  </si>
  <si>
    <t xml:space="preserve">607269763</t>
  </si>
  <si>
    <t xml:space="preserve">548620715</t>
  </si>
  <si>
    <t xml:space="preserve">16128918</t>
  </si>
  <si>
    <t xml:space="preserve">15997866</t>
  </si>
  <si>
    <t xml:space="preserve">Arbeitszimmer</t>
  </si>
  <si>
    <t xml:space="preserve">Abstellzimmer</t>
  </si>
  <si>
    <t xml:space="preserve">620009407</t>
  </si>
  <si>
    <t xml:space="preserve">Gemeinschaftsräume</t>
  </si>
  <si>
    <t xml:space="preserve">Partyraum</t>
  </si>
  <si>
    <t xml:space="preserve">630547692</t>
  </si>
  <si>
    <t xml:space="preserve">Putzraum</t>
  </si>
  <si>
    <t xml:space="preserve">630547289</t>
  </si>
  <si>
    <t xml:space="preserve">Flur EG links</t>
  </si>
  <si>
    <t xml:space="preserve">Flur 2. OG links</t>
  </si>
  <si>
    <t xml:space="preserve">Werkstatt hinten</t>
  </si>
  <si>
    <t xml:space="preserve">Werkstatt vorne</t>
  </si>
  <si>
    <t xml:space="preserve">Sauna links</t>
  </si>
  <si>
    <t xml:space="preserve">Sauna rechts</t>
  </si>
  <si>
    <t xml:space="preserve">Flur EG rechts</t>
  </si>
  <si>
    <t xml:space="preserve">Flur 1. OG links</t>
  </si>
  <si>
    <t xml:space="preserve">Flur 1. OG rechts</t>
  </si>
  <si>
    <t xml:space="preserve">Flur 2.OG rechts</t>
  </si>
  <si>
    <t xml:space="preserve">Wassweuhr Süd</t>
  </si>
  <si>
    <t xml:space="preserve">Wasseruhr Ost</t>
  </si>
  <si>
    <t xml:space="preserve">13891929</t>
  </si>
  <si>
    <t xml:space="preserve">Wasseruhr Wesr</t>
  </si>
  <si>
    <t xml:space="preserve">13891944</t>
  </si>
  <si>
    <t xml:space="preserve">Wert 2018</t>
  </si>
  <si>
    <t xml:space="preserve">Wert 2019</t>
  </si>
  <si>
    <t xml:space="preserve">Wert 2020</t>
  </si>
  <si>
    <t xml:space="preserve">Prüfung ob Seriennummer vorhanden</t>
  </si>
  <si>
    <t xml:space="preserve">fehlt</t>
  </si>
  <si>
    <t xml:space="preserve">Daten</t>
  </si>
  <si>
    <t xml:space="preserve">Summe von Verbrauch Kaltwasser</t>
  </si>
  <si>
    <t xml:space="preserve">Summe von Verbrauch Warm</t>
  </si>
  <si>
    <t xml:space="preserve">Summe von Verbrauch Ista</t>
  </si>
  <si>
    <t xml:space="preserve">(leer)</t>
  </si>
  <si>
    <t xml:space="preserve">Summe Ergebnis</t>
  </si>
  <si>
    <t xml:space="preserve">Korrektur Gemeinschaft</t>
  </si>
  <si>
    <t xml:space="preserve">Korrektur Wohnung</t>
  </si>
</sst>
</file>

<file path=xl/styles.xml><?xml version="1.0" encoding="utf-8"?>
<styleSheet xmlns="http://schemas.openxmlformats.org/spreadsheetml/2006/main">
  <numFmts count="21">
    <numFmt numFmtId="164" formatCode="General"/>
    <numFmt numFmtId="165" formatCode="#,##0.00\ [$€-407];[RED]\-#,##0.00\ [$€-407]"/>
    <numFmt numFmtId="166" formatCode="@"/>
    <numFmt numFmtId="167" formatCode="0.00\ %"/>
    <numFmt numFmtId="168" formatCode="d\.m\.yy"/>
    <numFmt numFmtId="169" formatCode="#,##0.00_ ;[RED]\-#,##0.00\ "/>
    <numFmt numFmtId="170" formatCode="#,##0.00"/>
    <numFmt numFmtId="171" formatCode="#,##0.00\ [$€-407]\ ;\-#,##0.00\ [$€-407]\ ;\-00\ [$€-407]\ ;@\ "/>
    <numFmt numFmtId="172" formatCode="General"/>
    <numFmt numFmtId="173" formatCode="0.000&quot; m³&quot;"/>
    <numFmt numFmtId="174" formatCode="0.00&quot; kw/h&quot;"/>
    <numFmt numFmtId="175" formatCode="mm:ss.0"/>
    <numFmt numFmtId="176" formatCode="0.00"/>
    <numFmt numFmtId="177" formatCode="[$-407]General"/>
    <numFmt numFmtId="178" formatCode="[$-407]#,##0.00"/>
    <numFmt numFmtId="179" formatCode="0.0"/>
    <numFmt numFmtId="180" formatCode="#,##0.00\ [$€-407];[RED]#,##0.00\ [$€-407]"/>
    <numFmt numFmtId="181" formatCode="0.000"/>
    <numFmt numFmtId="182" formatCode="dd\.mm\.yyyy"/>
    <numFmt numFmtId="183" formatCode="#,##0.000"/>
    <numFmt numFmtId="184" formatCode="dd/mm/yyyy"/>
  </numFmts>
  <fonts count="32">
    <font>
      <sz val="11"/>
      <color rgb="FF000000"/>
      <name val="Arial"/>
      <family val="2"/>
      <charset val="1"/>
    </font>
    <font>
      <sz val="10"/>
      <name val="Arial"/>
      <family val="0"/>
    </font>
    <font>
      <sz val="10"/>
      <name val="Arial"/>
      <family val="0"/>
    </font>
    <font>
      <sz val="10"/>
      <name val="Arial"/>
      <family val="0"/>
    </font>
    <font>
      <sz val="10"/>
      <color rgb="FFFFFFFF"/>
      <name val="Arial"/>
      <family val="2"/>
      <charset val="1"/>
    </font>
    <font>
      <b val="true"/>
      <sz val="10"/>
      <color rgb="FF000000"/>
      <name val="Arial"/>
      <family val="2"/>
      <charset val="1"/>
    </font>
    <font>
      <sz val="10"/>
      <color rgb="FFCC0000"/>
      <name val="Arial"/>
      <family val="2"/>
      <charset val="1"/>
    </font>
    <font>
      <b val="true"/>
      <i val="true"/>
      <u val="single"/>
      <sz val="11"/>
      <color rgb="FF000000"/>
      <name val="Calibri"/>
      <family val="2"/>
      <charset val="1"/>
    </font>
    <font>
      <b val="true"/>
      <sz val="10"/>
      <color rgb="FFFFFFFF"/>
      <name val="Arial"/>
      <family val="2"/>
      <charset val="1"/>
    </font>
    <font>
      <i val="true"/>
      <sz val="10"/>
      <color rgb="FF808080"/>
      <name val="Arial"/>
      <family val="2"/>
      <charset val="1"/>
    </font>
    <font>
      <sz val="10"/>
      <color rgb="FF006600"/>
      <name val="Arial"/>
      <family val="2"/>
      <charset val="1"/>
    </font>
    <font>
      <b val="true"/>
      <i val="true"/>
      <sz val="16"/>
      <color rgb="FF000000"/>
      <name val="Calibri"/>
      <family val="2"/>
      <charset val="1"/>
    </font>
    <font>
      <sz val="18"/>
      <color rgb="FF000000"/>
      <name val="Calibri"/>
      <family val="2"/>
      <charset val="1"/>
    </font>
    <font>
      <sz val="12"/>
      <color rgb="FF000000"/>
      <name val="Calibri"/>
      <family val="2"/>
      <charset val="1"/>
    </font>
    <font>
      <u val="single"/>
      <sz val="10"/>
      <color rgb="FF0000EE"/>
      <name val="Arial"/>
      <family val="2"/>
      <charset val="1"/>
    </font>
    <font>
      <sz val="10"/>
      <color rgb="FF333333"/>
      <name val="Arial"/>
      <family val="2"/>
      <charset val="1"/>
    </font>
    <font>
      <b val="true"/>
      <sz val="11"/>
      <color rgb="FF000000"/>
      <name val="Arial"/>
      <family val="2"/>
      <charset val="1"/>
    </font>
    <font>
      <b val="true"/>
      <i val="true"/>
      <u val="single"/>
      <sz val="11"/>
      <color rgb="FF000000"/>
      <name val="Arial"/>
      <family val="2"/>
      <charset val="1"/>
    </font>
    <font>
      <b val="true"/>
      <sz val="11"/>
      <color rgb="FFCE181E"/>
      <name val="Arial"/>
      <family val="2"/>
      <charset val="1"/>
    </font>
    <font>
      <sz val="9"/>
      <color rgb="FF000000"/>
      <name val="Segoe UI"/>
      <family val="2"/>
      <charset val="1"/>
    </font>
    <font>
      <sz val="11"/>
      <name val="Arial"/>
      <family val="2"/>
      <charset val="1"/>
    </font>
    <font>
      <b val="true"/>
      <sz val="11"/>
      <name val="Arial"/>
      <family val="2"/>
      <charset val="1"/>
    </font>
    <font>
      <sz val="11"/>
      <color rgb="FFC9211E"/>
      <name val="Arial"/>
      <family val="2"/>
      <charset val="1"/>
    </font>
    <font>
      <sz val="11"/>
      <color rgb="FFFF0000"/>
      <name val="Arial"/>
      <family val="2"/>
      <charset val="1"/>
    </font>
    <font>
      <sz val="11"/>
      <color rgb="FFED1C24"/>
      <name val="Arial"/>
      <family val="2"/>
      <charset val="1"/>
    </font>
    <font>
      <sz val="11"/>
      <color rgb="FFFFFFFF"/>
      <name val="Arial"/>
      <family val="2"/>
      <charset val="1"/>
    </font>
    <font>
      <b val="true"/>
      <sz val="11"/>
      <color rgb="FF000000"/>
      <name val="Liberation Sans1"/>
      <family val="0"/>
      <charset val="1"/>
    </font>
    <font>
      <b val="true"/>
      <sz val="11"/>
      <color rgb="FF000000"/>
      <name val="Calibri1"/>
      <family val="0"/>
      <charset val="1"/>
    </font>
    <font>
      <u val="single"/>
      <sz val="11"/>
      <color rgb="FF000000"/>
      <name val="Arial"/>
      <family val="2"/>
      <charset val="1"/>
    </font>
    <font>
      <b val="true"/>
      <sz val="11"/>
      <color rgb="FF000000"/>
      <name val="Calibri"/>
      <family val="2"/>
      <charset val="1"/>
    </font>
    <font>
      <sz val="11"/>
      <color rgb="FF000000"/>
      <name val="Calibri1"/>
      <family val="0"/>
      <charset val="1"/>
    </font>
    <font>
      <sz val="12"/>
      <name val="Arial"/>
      <family val="2"/>
      <charset val="1"/>
    </font>
  </fonts>
  <fills count="17">
    <fill>
      <patternFill patternType="none"/>
    </fill>
    <fill>
      <patternFill patternType="gray125"/>
    </fill>
    <fill>
      <patternFill patternType="solid">
        <fgColor rgb="FF000000"/>
        <bgColor rgb="FF003300"/>
      </patternFill>
    </fill>
    <fill>
      <patternFill patternType="solid">
        <fgColor rgb="FF808080"/>
        <bgColor rgb="FF969696"/>
      </patternFill>
    </fill>
    <fill>
      <patternFill patternType="solid">
        <fgColor rgb="FFDDDDDD"/>
        <bgColor rgb="FFDEEBF7"/>
      </patternFill>
    </fill>
    <fill>
      <patternFill patternType="solid">
        <fgColor rgb="FFFFCCCC"/>
        <bgColor rgb="FFFEDCC6"/>
      </patternFill>
    </fill>
    <fill>
      <patternFill patternType="solid">
        <fgColor rgb="FFCC0000"/>
        <bgColor rgb="FFCE181E"/>
      </patternFill>
    </fill>
    <fill>
      <patternFill patternType="solid">
        <fgColor rgb="FFCCFFCC"/>
        <bgColor rgb="FFDEEBF7"/>
      </patternFill>
    </fill>
    <fill>
      <patternFill patternType="solid">
        <fgColor rgb="FFFFFFCC"/>
        <bgColor rgb="FFFFFBCC"/>
      </patternFill>
    </fill>
    <fill>
      <patternFill patternType="solid">
        <fgColor rgb="FFFFF200"/>
        <bgColor rgb="FFFFC000"/>
      </patternFill>
    </fill>
    <fill>
      <patternFill patternType="solid">
        <fgColor rgb="FFFFC000"/>
        <bgColor rgb="FFFF9900"/>
      </patternFill>
    </fill>
    <fill>
      <patternFill patternType="solid">
        <fgColor rgb="FFFFFF99"/>
        <bgColor rgb="FFFFFFCC"/>
      </patternFill>
    </fill>
    <fill>
      <patternFill patternType="solid">
        <fgColor rgb="FFFFFBCC"/>
        <bgColor rgb="FFFFFFCC"/>
      </patternFill>
    </fill>
    <fill>
      <patternFill patternType="solid">
        <fgColor rgb="FFC2E0AE"/>
        <bgColor rgb="FFDDDDDD"/>
      </patternFill>
    </fill>
    <fill>
      <patternFill patternType="solid">
        <fgColor rgb="FFFEDCC6"/>
        <bgColor rgb="FFFFCCCC"/>
      </patternFill>
    </fill>
    <fill>
      <patternFill patternType="solid">
        <fgColor rgb="FFEEEEEE"/>
        <bgColor rgb="FFDEEBF7"/>
      </patternFill>
    </fill>
    <fill>
      <patternFill patternType="solid">
        <fgColor rgb="FFDEEBF7"/>
        <bgColor rgb="FFEEEEEE"/>
      </patternFill>
    </fill>
  </fills>
  <borders count="34">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top/>
      <bottom/>
      <diagonal/>
    </border>
    <border diagonalUp="false" diagonalDown="false">
      <left/>
      <right style="thin"/>
      <top/>
      <bottom/>
      <diagonal/>
    </border>
    <border diagonalUp="false" diagonalDown="false">
      <left style="thin"/>
      <right style="thin"/>
      <top/>
      <bottom/>
      <diagonal/>
    </border>
    <border diagonalUp="false" diagonalDown="false">
      <left/>
      <right/>
      <top style="thin"/>
      <bottom style="double"/>
      <diagonal/>
    </border>
    <border diagonalUp="false" diagonalDown="false">
      <left style="thin"/>
      <right/>
      <top style="thin"/>
      <bottom style="double"/>
      <diagonal/>
    </border>
    <border diagonalUp="false" diagonalDown="false">
      <left/>
      <right style="thin"/>
      <top style="thin"/>
      <bottom style="double"/>
      <diagonal/>
    </border>
    <border diagonalUp="false" diagonalDown="false">
      <left/>
      <right/>
      <top style="thin"/>
      <bottom/>
      <diagonal/>
    </border>
    <border diagonalUp="false" diagonalDown="false">
      <left style="thin"/>
      <right style="thin"/>
      <top/>
      <bottom style="thin"/>
      <diagonal/>
    </border>
    <border diagonalUp="false" diagonalDown="false">
      <left/>
      <right style="thin">
        <color rgb="FF9DC3E6"/>
      </right>
      <top style="thin">
        <color rgb="FF9DC3E6"/>
      </top>
      <bottom style="thin">
        <color rgb="FF9DC3E6"/>
      </bottom>
      <diagonal/>
    </border>
    <border diagonalUp="false" diagonalDown="false">
      <left style="medium"/>
      <right style="thin"/>
      <top style="medium"/>
      <bottom/>
      <diagonal/>
    </border>
    <border diagonalUp="false" diagonalDown="false">
      <left style="thin"/>
      <right/>
      <top style="medium"/>
      <bottom style="thin"/>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medium"/>
      <right style="thin"/>
      <top/>
      <bottom style="thin"/>
      <diagonal/>
    </border>
    <border diagonalUp="false" diagonalDown="false">
      <left/>
      <right style="medium"/>
      <top/>
      <bottom style="thin"/>
      <diagonal/>
    </border>
    <border diagonalUp="false" diagonalDown="false">
      <left style="medium"/>
      <right style="thin"/>
      <top style="thin"/>
      <bottom/>
      <diagonal/>
    </border>
    <border diagonalUp="false" diagonalDown="false">
      <left style="thin"/>
      <right/>
      <top style="thin"/>
      <bottom/>
      <diagonal/>
    </border>
    <border diagonalUp="false" diagonalDown="false">
      <left/>
      <right style="medium"/>
      <top style="thin"/>
      <bottom/>
      <diagonal/>
    </border>
    <border diagonalUp="false" diagonalDown="false">
      <left style="medium"/>
      <right style="thin"/>
      <top/>
      <bottom/>
      <diagonal/>
    </border>
    <border diagonalUp="false" diagonalDown="false">
      <left/>
      <right style="medium"/>
      <top/>
      <bottom/>
      <diagonal/>
    </border>
    <border diagonalUp="false" diagonalDown="false">
      <left style="medium"/>
      <right style="thin"/>
      <top/>
      <bottom style="medium"/>
      <diagonal/>
    </border>
    <border diagonalUp="false" diagonalDown="false">
      <left style="thin"/>
      <right/>
      <top style="thin"/>
      <bottom style="medium"/>
      <diagonal/>
    </border>
    <border diagonalUp="false" diagonalDown="false">
      <left/>
      <right/>
      <top style="thin"/>
      <bottom style="medium"/>
      <diagonal/>
    </border>
    <border diagonalUp="false" diagonalDown="false">
      <left/>
      <right style="medium"/>
      <top style="thin"/>
      <bottom style="medium"/>
      <diagonal/>
    </border>
  </borders>
  <cellStyleXfs count="4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171" fontId="0" fillId="0" borderId="0" applyFont="true" applyBorder="true" applyAlignment="true" applyProtection="true">
      <alignment horizontal="general" vertical="bottom" textRotation="0" wrapText="false" indent="0" shrinkToFit="false"/>
      <protection locked="true" hidden="false"/>
    </xf>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4"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5" borderId="0" applyFont="true" applyBorder="true" applyAlignment="true" applyProtection="true">
      <alignment horizontal="general" vertical="bottom" textRotation="0" wrapText="false" indent="0" shrinkToFit="false"/>
      <protection locked="true" hidden="false"/>
    </xf>
    <xf numFmtId="165" fontId="7" fillId="0" borderId="0" applyFont="true" applyBorder="true" applyAlignment="true" applyProtection="true">
      <alignment horizontal="general" vertical="bottom" textRotation="0" wrapText="false" indent="0" shrinkToFit="false"/>
      <protection locked="true" hidden="false"/>
    </xf>
    <xf numFmtId="164" fontId="8" fillId="6"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7" borderId="0" applyFont="true" applyBorder="true" applyAlignment="true" applyProtection="true">
      <alignment horizontal="general" vertical="bottom" textRotation="0" wrapText="false" indent="0" shrinkToFit="false"/>
      <protection locked="true" hidden="false"/>
    </xf>
    <xf numFmtId="164" fontId="11" fillId="0" borderId="0" applyFont="true" applyBorder="true" applyAlignment="true" applyProtection="true">
      <alignment horizontal="center" vertical="bottom" textRotation="0" wrapText="false" indent="0" shrinkToFit="false"/>
      <protection locked="true" hidden="false"/>
    </xf>
    <xf numFmtId="164" fontId="12" fillId="0" borderId="0" applyFont="true" applyBorder="true" applyAlignment="true" applyProtection="true">
      <alignment horizontal="center" vertical="bottom" textRotation="0" wrapText="false" indent="0" shrinkToFit="false"/>
      <protection locked="true" hidden="false"/>
    </xf>
    <xf numFmtId="164" fontId="13" fillId="0" borderId="0" applyFont="true" applyBorder="true" applyAlignment="true" applyProtection="true">
      <alignment horizontal="center" vertical="bottom" textRotation="0" wrapText="false" indent="0" shrinkToFit="false"/>
      <protection locked="true" hidden="false"/>
    </xf>
    <xf numFmtId="164" fontId="11" fillId="0" borderId="0" applyFont="true" applyBorder="true" applyAlignment="true" applyProtection="true">
      <alignment horizontal="center" vertical="bottom" textRotation="9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15" fillId="8" borderId="1"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left" vertical="bottom" textRotation="0" wrapText="false" indent="0" shrinkToFit="false"/>
      <protection locked="true" hidden="false"/>
    </xf>
    <xf numFmtId="164" fontId="16" fillId="0" borderId="0" applyFont="true" applyBorder="true" applyAlignment="true" applyProtection="true">
      <alignment horizontal="left"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199">
    <xf numFmtId="164" fontId="0" fillId="0" borderId="0" xfId="0" applyFont="fals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16" fillId="0" borderId="2" xfId="0" applyFont="true" applyBorder="true" applyAlignment="false" applyProtection="false">
      <alignment horizontal="general" vertical="bottom" textRotation="0" wrapText="false" indent="0" shrinkToFit="false"/>
      <protection locked="true" hidden="false"/>
    </xf>
    <xf numFmtId="164" fontId="21" fillId="10" borderId="2"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4" fontId="22" fillId="0" borderId="2" xfId="0" applyFont="true" applyBorder="true" applyAlignment="false" applyProtection="false">
      <alignment horizontal="general" vertical="bottom" textRotation="0" wrapText="false" indent="0" shrinkToFit="false"/>
      <protection locked="true" hidden="false"/>
    </xf>
    <xf numFmtId="165" fontId="23" fillId="10" borderId="2" xfId="0" applyFont="true" applyBorder="true" applyAlignment="false" applyProtection="false">
      <alignment horizontal="general" vertical="bottom" textRotation="0" wrapText="false" indent="0" shrinkToFit="false"/>
      <protection locked="true" hidden="false"/>
    </xf>
    <xf numFmtId="167" fontId="22" fillId="0" borderId="2" xfId="0" applyFont="true" applyBorder="true" applyAlignment="false" applyProtection="false">
      <alignment horizontal="general" vertical="bottom" textRotation="0" wrapText="false" indent="0" shrinkToFit="false"/>
      <protection locked="true" hidden="false"/>
    </xf>
    <xf numFmtId="164" fontId="20" fillId="0" borderId="2" xfId="0" applyFont="true" applyBorder="true" applyAlignment="false" applyProtection="false">
      <alignment horizontal="general" vertical="bottom" textRotation="0" wrapText="false" indent="0" shrinkToFit="false"/>
      <protection locked="true" hidden="false"/>
    </xf>
    <xf numFmtId="164" fontId="23" fillId="0" borderId="2" xfId="0" applyFont="true" applyBorder="true" applyAlignment="false" applyProtection="false">
      <alignment horizontal="general" vertical="bottom" textRotation="0" wrapText="false" indent="0" shrinkToFit="false"/>
      <protection locked="true" hidden="false"/>
    </xf>
    <xf numFmtId="167" fontId="0" fillId="0" borderId="2" xfId="0" applyFont="false" applyBorder="true" applyAlignment="false" applyProtection="false">
      <alignment horizontal="general" vertical="bottom" textRotation="0" wrapText="false" indent="0" shrinkToFit="false"/>
      <protection locked="true" hidden="false"/>
    </xf>
    <xf numFmtId="164" fontId="24" fillId="0" borderId="2" xfId="0" applyFont="true" applyBorder="true" applyAlignment="false" applyProtection="false">
      <alignment horizontal="general" vertical="bottom" textRotation="0" wrapText="false" indent="0" shrinkToFit="false"/>
      <protection locked="true" hidden="false"/>
    </xf>
    <xf numFmtId="165" fontId="20" fillId="10" borderId="2" xfId="0" applyFont="true" applyBorder="true" applyAlignment="false" applyProtection="false">
      <alignment horizontal="general" vertical="bottom" textRotation="0" wrapText="false" indent="0" shrinkToFit="false"/>
      <protection locked="true" hidden="false"/>
    </xf>
    <xf numFmtId="167" fontId="24" fillId="0" borderId="2" xfId="0" applyFont="true" applyBorder="true" applyAlignment="false" applyProtection="false">
      <alignment horizontal="general" vertical="bottom" textRotation="0" wrapText="false" indent="0" shrinkToFit="false"/>
      <protection locked="true" hidden="false"/>
    </xf>
    <xf numFmtId="168" fontId="23" fillId="0" borderId="2" xfId="0" applyFont="true" applyBorder="true" applyAlignment="false" applyProtection="false">
      <alignment horizontal="general" vertical="bottom" textRotation="0" wrapText="false" indent="0" shrinkToFit="false"/>
      <protection locked="true" hidden="false"/>
    </xf>
    <xf numFmtId="167" fontId="0" fillId="0" borderId="2" xfId="0" applyFont="true" applyBorder="true" applyAlignment="false" applyProtection="false">
      <alignment horizontal="general" vertical="bottom" textRotation="0" wrapText="false" indent="0" shrinkToFit="false"/>
      <protection locked="true" hidden="false"/>
    </xf>
    <xf numFmtId="169" fontId="23" fillId="10" borderId="2" xfId="0" applyFont="true" applyBorder="true" applyAlignment="false" applyProtection="false">
      <alignment horizontal="general" vertical="bottom" textRotation="0" wrapText="false" indent="0" shrinkToFit="false"/>
      <protection locked="true" hidden="false"/>
    </xf>
    <xf numFmtId="170" fontId="20" fillId="10" borderId="2" xfId="0" applyFont="true" applyBorder="true" applyAlignment="false" applyProtection="false">
      <alignment horizontal="general" vertical="bottom" textRotation="0" wrapText="false" indent="0" shrinkToFit="false"/>
      <protection locked="true" hidden="false"/>
    </xf>
    <xf numFmtId="170" fontId="23" fillId="10" borderId="2" xfId="0" applyFont="true" applyBorder="true" applyAlignment="false" applyProtection="false">
      <alignment horizontal="general" vertical="bottom" textRotation="0" wrapText="false" indent="0" shrinkToFit="false"/>
      <protection locked="true" hidden="false"/>
    </xf>
    <xf numFmtId="164" fontId="23" fillId="10" borderId="2" xfId="0" applyFont="true" applyBorder="true" applyAlignment="false" applyProtection="false">
      <alignment horizontal="general" vertical="bottom" textRotation="0" wrapText="false" indent="0" shrinkToFit="false"/>
      <protection locked="true" hidden="false"/>
    </xf>
    <xf numFmtId="164" fontId="20" fillId="10" borderId="2" xfId="0" applyFont="true" applyBorder="true" applyAlignment="false" applyProtection="false">
      <alignment horizontal="general" vertical="bottom" textRotation="0" wrapText="false" indent="0" shrinkToFit="false"/>
      <protection locked="true" hidden="false"/>
    </xf>
    <xf numFmtId="165" fontId="23" fillId="10" borderId="2" xfId="17" applyFont="true" applyBorder="true" applyAlignment="false" applyProtection="true">
      <alignment horizontal="general" vertical="bottom" textRotation="0" wrapText="false" indent="0" shrinkToFit="false"/>
      <protection locked="false" hidden="false"/>
    </xf>
    <xf numFmtId="165" fontId="0" fillId="11" borderId="2" xfId="0" applyFont="true" applyBorder="true" applyAlignment="false" applyProtection="false">
      <alignment horizontal="general" vertical="bottom" textRotation="0" wrapText="false" indent="0" shrinkToFit="false"/>
      <protection locked="true" hidden="false"/>
    </xf>
    <xf numFmtId="165" fontId="20" fillId="1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5" fontId="0" fillId="0" borderId="0" xfId="17" applyFont="false" applyBorder="false" applyAlignment="false" applyProtection="true">
      <alignment horizontal="general" vertical="bottom" textRotation="0" wrapText="false" indent="0" shrinkToFit="false"/>
      <protection locked="false" hidden="false"/>
    </xf>
    <xf numFmtId="164" fontId="0" fillId="12" borderId="0" xfId="0" applyFont="false" applyBorder="false" applyAlignment="false" applyProtection="false">
      <alignment horizontal="general" vertical="bottom" textRotation="0" wrapText="false" indent="0" shrinkToFit="false"/>
      <protection locked="true" hidden="false"/>
    </xf>
    <xf numFmtId="172" fontId="0" fillId="0" borderId="0" xfId="0" applyFont="false" applyBorder="false" applyAlignment="false" applyProtection="true">
      <alignment horizontal="general" vertical="bottom" textRotation="0" wrapText="false" indent="0" shrinkToFit="false"/>
      <protection locked="false" hidden="false"/>
    </xf>
    <xf numFmtId="173" fontId="0" fillId="0" borderId="0" xfId="0" applyFont="false" applyBorder="false" applyAlignment="false" applyProtection="true">
      <alignment horizontal="general" vertical="bottom" textRotation="0" wrapText="false" indent="0" shrinkToFit="false"/>
      <protection locked="false" hidden="false"/>
    </xf>
    <xf numFmtId="173" fontId="0" fillId="0" borderId="0" xfId="0" applyFont="false" applyBorder="false" applyAlignment="false" applyProtection="false">
      <alignment horizontal="general" vertical="bottom" textRotation="0" wrapText="false" indent="0" shrinkToFit="false"/>
      <protection locked="true" hidden="false"/>
    </xf>
    <xf numFmtId="17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true">
      <alignment horizontal="general" vertical="bottom" textRotation="0" wrapText="false" indent="0" shrinkToFit="false"/>
      <protection locked="false" hidden="false"/>
    </xf>
    <xf numFmtId="175" fontId="0" fillId="0" borderId="0" xfId="0" applyFont="false" applyBorder="false" applyAlignment="false" applyProtection="false">
      <alignment horizontal="general" vertical="bottom" textRotation="0" wrapText="false" indent="0" shrinkToFit="false"/>
      <protection locked="true" hidden="false"/>
    </xf>
    <xf numFmtId="176" fontId="0" fillId="0" borderId="0" xfId="0" applyFont="false" applyBorder="false" applyAlignment="false" applyProtection="false">
      <alignment horizontal="general" vertical="bottom" textRotation="0" wrapText="false" indent="0" shrinkToFit="false"/>
      <protection locked="true" hidden="false"/>
    </xf>
    <xf numFmtId="172" fontId="23" fillId="0" borderId="0" xfId="0" applyFont="true" applyBorder="false" applyAlignment="false" applyProtection="true">
      <alignment horizontal="general" vertical="bottom" textRotation="0" wrapText="false" indent="0" shrinkToFit="false"/>
      <protection locked="fals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7" fontId="0" fillId="12" borderId="0" xfId="0" applyFont="false" applyBorder="false" applyAlignment="false" applyProtection="true">
      <alignment horizontal="general" vertical="bottom" textRotation="0" wrapText="false" indent="0" shrinkToFit="false"/>
      <protection locked="false" hidden="false"/>
    </xf>
    <xf numFmtId="178" fontId="0" fillId="0" borderId="0" xfId="0" applyFont="false" applyBorder="false" applyAlignment="false" applyProtection="true">
      <alignment horizontal="general" vertical="bottom" textRotation="0" wrapText="false" indent="0" shrinkToFit="false"/>
      <protection locked="false" hidden="false"/>
    </xf>
    <xf numFmtId="176" fontId="23" fillId="0" borderId="0" xfId="0" applyFont="true" applyBorder="false" applyAlignment="false" applyProtection="true">
      <alignment horizontal="general" vertical="bottom" textRotation="0" wrapText="false" indent="0" shrinkToFit="false"/>
      <protection locked="false" hidden="false"/>
    </xf>
    <xf numFmtId="171" fontId="0" fillId="0" borderId="0" xfId="17" applyFont="false" applyBorder="false" applyAlignment="false" applyProtection="false">
      <alignment horizontal="general" vertical="bottom" textRotation="0" wrapText="false" indent="0" shrinkToFit="false"/>
      <protection locked="true" hidden="false"/>
    </xf>
    <xf numFmtId="165" fontId="0"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false" applyBorder="false" applyAlignment="false" applyProtection="false">
      <alignment horizontal="general" vertical="bottom" textRotation="0" wrapText="false" indent="0" shrinkToFit="false"/>
      <protection locked="true" hidden="false"/>
    </xf>
    <xf numFmtId="171" fontId="0" fillId="0" borderId="0" xfId="17" applyFont="false" applyBorder="false" applyAlignment="false" applyProtection="true">
      <alignment horizontal="general" vertical="bottom" textRotation="0" wrapText="false" indent="0" shrinkToFit="false"/>
      <protection locked="false" hidden="false"/>
    </xf>
    <xf numFmtId="165" fontId="16"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16" fillId="14" borderId="3" xfId="0" applyFont="true" applyBorder="true" applyAlignment="true" applyProtection="true">
      <alignment horizontal="center" vertical="center" textRotation="0" wrapText="false" indent="0" shrinkToFit="false"/>
      <protection locked="false" hidden="false"/>
    </xf>
    <xf numFmtId="164" fontId="16" fillId="15" borderId="3"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false" applyAlignment="true" applyProtection="false">
      <alignment horizontal="general" vertical="bottom" textRotation="0" wrapText="true" indent="0" shrinkToFit="false"/>
      <protection locked="true" hidden="false"/>
    </xf>
    <xf numFmtId="164" fontId="16" fillId="15" borderId="4" xfId="0" applyFont="true" applyBorder="true" applyAlignment="true" applyProtection="false">
      <alignment horizontal="general" vertical="bottom" textRotation="0" wrapText="true" indent="0" shrinkToFit="false"/>
      <protection locked="true" hidden="false"/>
    </xf>
    <xf numFmtId="164" fontId="16" fillId="15" borderId="5" xfId="0" applyFont="true" applyBorder="true" applyAlignment="true" applyProtection="false">
      <alignment horizontal="general" vertical="bottom" textRotation="0" wrapText="true" indent="0" shrinkToFit="false"/>
      <protection locked="true" hidden="false"/>
    </xf>
    <xf numFmtId="164" fontId="16" fillId="15" borderId="6" xfId="0" applyFont="true" applyBorder="true" applyAlignment="true" applyProtection="false">
      <alignment horizontal="general" vertical="bottom" textRotation="0" wrapText="true" indent="0" shrinkToFit="false"/>
      <protection locked="true" hidden="false"/>
    </xf>
    <xf numFmtId="164" fontId="16" fillId="14" borderId="7" xfId="0" applyFont="true" applyBorder="true" applyAlignment="true" applyProtection="true">
      <alignment horizontal="center" vertical="bottom" textRotation="0" wrapText="true" indent="0" shrinkToFit="false"/>
      <protection locked="false" hidden="false"/>
    </xf>
    <xf numFmtId="164" fontId="16" fillId="14" borderId="8" xfId="0" applyFont="true" applyBorder="true" applyAlignment="true" applyProtection="false">
      <alignment horizontal="general" vertical="bottom" textRotation="0" wrapText="true" indent="0" shrinkToFit="false"/>
      <protection locked="true" hidden="false"/>
    </xf>
    <xf numFmtId="164" fontId="16" fillId="14" borderId="9" xfId="0" applyFont="true" applyBorder="true" applyAlignment="true" applyProtection="false">
      <alignment horizontal="general" vertical="bottom" textRotation="0" wrapText="true" indent="0" shrinkToFit="false"/>
      <protection locked="true" hidden="false"/>
    </xf>
    <xf numFmtId="164" fontId="16" fillId="14" borderId="2" xfId="0" applyFont="true" applyBorder="true" applyAlignment="true" applyProtection="false">
      <alignment horizontal="general" vertical="bottom" textRotation="0" wrapText="true" indent="0" shrinkToFit="false"/>
      <protection locked="true" hidden="false"/>
    </xf>
    <xf numFmtId="164" fontId="16" fillId="15" borderId="7" xfId="0" applyFont="true" applyBorder="true" applyAlignment="true" applyProtection="false">
      <alignment horizontal="general" vertical="bottom" textRotation="0" wrapText="true" indent="0" shrinkToFit="false"/>
      <protection locked="true" hidden="false"/>
    </xf>
    <xf numFmtId="164" fontId="16" fillId="15" borderId="8" xfId="0" applyFont="true" applyBorder="true" applyAlignment="true" applyProtection="false">
      <alignment horizontal="general" vertical="bottom" textRotation="0" wrapText="true" indent="0" shrinkToFit="false"/>
      <protection locked="true" hidden="false"/>
    </xf>
    <xf numFmtId="164" fontId="16" fillId="15" borderId="9" xfId="0" applyFont="true" applyBorder="tru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6" fontId="0" fillId="15" borderId="10" xfId="0" applyFont="true" applyBorder="true" applyAlignment="false" applyProtection="false">
      <alignment horizontal="general" vertical="bottom" textRotation="0" wrapText="false" indent="0" shrinkToFit="false"/>
      <protection locked="true" hidden="false"/>
    </xf>
    <xf numFmtId="164" fontId="0" fillId="15" borderId="0" xfId="0" applyFont="true" applyBorder="false" applyAlignment="false" applyProtection="false">
      <alignment horizontal="general" vertical="bottom" textRotation="0" wrapText="false" indent="0" shrinkToFit="false"/>
      <protection locked="true" hidden="false"/>
    </xf>
    <xf numFmtId="164" fontId="0" fillId="15" borderId="11" xfId="0" applyFont="true" applyBorder="true" applyAlignment="false" applyProtection="false">
      <alignment horizontal="general" vertical="bottom" textRotation="0" wrapText="false" indent="0" shrinkToFit="false"/>
      <protection locked="true" hidden="false"/>
    </xf>
    <xf numFmtId="168" fontId="0" fillId="12" borderId="10" xfId="0" applyFont="false" applyBorder="true" applyAlignment="false" applyProtection="true">
      <alignment horizontal="general" vertical="bottom" textRotation="0" wrapText="false" indent="0" shrinkToFit="false"/>
      <protection locked="false" hidden="false"/>
    </xf>
    <xf numFmtId="168" fontId="0" fillId="12" borderId="0" xfId="0" applyFont="false" applyBorder="false" applyAlignment="false" applyProtection="true">
      <alignment horizontal="general" vertical="bottom" textRotation="0" wrapText="false" indent="0" shrinkToFit="false"/>
      <protection locked="false" hidden="false"/>
    </xf>
    <xf numFmtId="170" fontId="0" fillId="12" borderId="0" xfId="0" applyFont="false" applyBorder="false" applyAlignment="false" applyProtection="true">
      <alignment horizontal="general" vertical="bottom" textRotation="0" wrapText="false" indent="0" shrinkToFit="false"/>
      <protection locked="false" hidden="false"/>
    </xf>
    <xf numFmtId="179" fontId="0" fillId="15" borderId="11" xfId="0" applyFont="false" applyBorder="true" applyAlignment="false" applyProtection="true">
      <alignment horizontal="general" vertical="bottom" textRotation="0" wrapText="false" indent="0" shrinkToFit="false"/>
      <protection locked="true" hidden="false"/>
    </xf>
    <xf numFmtId="165" fontId="0" fillId="12" borderId="10" xfId="0" applyFont="false" applyBorder="true" applyAlignment="false" applyProtection="true">
      <alignment horizontal="general" vertical="bottom" textRotation="0" wrapText="false" indent="0" shrinkToFit="false"/>
      <protection locked="false" hidden="false"/>
    </xf>
    <xf numFmtId="172" fontId="0" fillId="14" borderId="0" xfId="0" applyFont="false" applyBorder="false" applyAlignment="false" applyProtection="true">
      <alignment horizontal="general" vertical="bottom" textRotation="0" wrapText="false" indent="0" shrinkToFit="false"/>
      <protection locked="false" hidden="false"/>
    </xf>
    <xf numFmtId="165" fontId="0" fillId="14" borderId="11" xfId="0" applyFont="false" applyBorder="true" applyAlignment="false" applyProtection="false">
      <alignment horizontal="general" vertical="bottom" textRotation="0" wrapText="false" indent="0" shrinkToFit="false"/>
      <protection locked="true" hidden="false"/>
    </xf>
    <xf numFmtId="172" fontId="0" fillId="15" borderId="10" xfId="0" applyFont="false" applyBorder="true" applyAlignment="false" applyProtection="true">
      <alignment horizontal="general" vertical="bottom" textRotation="0" wrapText="false" indent="0" shrinkToFit="false"/>
      <protection locked="false" hidden="false"/>
    </xf>
    <xf numFmtId="172" fontId="0" fillId="15" borderId="0" xfId="0" applyFont="false" applyBorder="false" applyAlignment="false" applyProtection="true">
      <alignment horizontal="general" vertical="bottom" textRotation="0" wrapText="false" indent="0" shrinkToFit="false"/>
      <protection locked="false" hidden="false"/>
    </xf>
    <xf numFmtId="172" fontId="0" fillId="15" borderId="11" xfId="0" applyFont="false" applyBorder="true" applyAlignment="false" applyProtection="true">
      <alignment horizontal="general" vertical="bottom" textRotation="0" wrapText="false" indent="0" shrinkToFit="false"/>
      <protection locked="false" hidden="false"/>
    </xf>
    <xf numFmtId="180" fontId="0" fillId="14" borderId="12" xfId="0" applyFont="false" applyBorder="true" applyAlignment="false" applyProtection="false">
      <alignment horizontal="general" vertical="bottom" textRotation="0" wrapText="false" indent="0" shrinkToFit="false"/>
      <protection locked="true" hidden="false"/>
    </xf>
    <xf numFmtId="180" fontId="0" fillId="15" borderId="10" xfId="0" applyFont="false" applyBorder="true" applyAlignment="false" applyProtection="false">
      <alignment horizontal="general" vertical="bottom" textRotation="0" wrapText="false" indent="0" shrinkToFit="false"/>
      <protection locked="true" hidden="false"/>
    </xf>
    <xf numFmtId="180" fontId="0" fillId="15" borderId="0" xfId="0" applyFont="false" applyBorder="false" applyAlignment="false" applyProtection="false">
      <alignment horizontal="general" vertical="bottom" textRotation="0" wrapText="false" indent="0" shrinkToFit="false"/>
      <protection locked="true" hidden="false"/>
    </xf>
    <xf numFmtId="180" fontId="0" fillId="15" borderId="11" xfId="0" applyFont="false" applyBorder="tru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5" fontId="23" fillId="12" borderId="10" xfId="0" applyFont="true" applyBorder="true" applyAlignment="false" applyProtection="true">
      <alignment horizontal="general" vertical="bottom" textRotation="0" wrapText="false" indent="0" shrinkToFit="false"/>
      <protection locked="false" hidden="false"/>
    </xf>
    <xf numFmtId="166" fontId="0" fillId="15" borderId="0" xfId="0" applyFont="true" applyBorder="false" applyAlignment="false" applyProtection="false">
      <alignment horizontal="general" vertical="bottom" textRotation="0" wrapText="false" indent="0" shrinkToFit="false"/>
      <protection locked="true" hidden="false"/>
    </xf>
    <xf numFmtId="181" fontId="0" fillId="15" borderId="11" xfId="0" applyFont="false" applyBorder="true" applyAlignment="false" applyProtection="true">
      <alignment horizontal="general" vertical="bottom" textRotation="0" wrapText="false" indent="0" shrinkToFit="false"/>
      <protection locked="true" hidden="false"/>
    </xf>
    <xf numFmtId="164" fontId="16" fillId="0" borderId="13" xfId="0" applyFont="true" applyBorder="true" applyAlignment="false" applyProtection="false">
      <alignment horizontal="general" vertical="bottom" textRotation="0" wrapText="false" indent="0" shrinkToFit="false"/>
      <protection locked="true" hidden="false"/>
    </xf>
    <xf numFmtId="166" fontId="16" fillId="15" borderId="14" xfId="0" applyFont="true" applyBorder="true" applyAlignment="false" applyProtection="false">
      <alignment horizontal="general" vertical="bottom" textRotation="0" wrapText="false" indent="0" shrinkToFit="false"/>
      <protection locked="true" hidden="false"/>
    </xf>
    <xf numFmtId="164" fontId="16" fillId="15" borderId="13" xfId="0" applyFont="true" applyBorder="true" applyAlignment="false" applyProtection="false">
      <alignment horizontal="general" vertical="bottom" textRotation="0" wrapText="false" indent="0" shrinkToFit="false"/>
      <protection locked="true" hidden="false"/>
    </xf>
    <xf numFmtId="164" fontId="16" fillId="15" borderId="15" xfId="0" applyFont="true" applyBorder="true" applyAlignment="false" applyProtection="false">
      <alignment horizontal="general" vertical="bottom" textRotation="0" wrapText="false" indent="0" shrinkToFit="false"/>
      <protection locked="true" hidden="false"/>
    </xf>
    <xf numFmtId="168" fontId="16" fillId="12" borderId="14" xfId="0" applyFont="true" applyBorder="true" applyAlignment="false" applyProtection="true">
      <alignment horizontal="general" vertical="bottom" textRotation="0" wrapText="false" indent="0" shrinkToFit="false"/>
      <protection locked="false" hidden="false"/>
    </xf>
    <xf numFmtId="168" fontId="16" fillId="12" borderId="13" xfId="0" applyFont="true" applyBorder="true" applyAlignment="false" applyProtection="true">
      <alignment horizontal="general" vertical="bottom" textRotation="0" wrapText="false" indent="0" shrinkToFit="false"/>
      <protection locked="false" hidden="false"/>
    </xf>
    <xf numFmtId="170" fontId="16" fillId="12" borderId="13" xfId="0" applyFont="true" applyBorder="true" applyAlignment="false" applyProtection="true">
      <alignment horizontal="general" vertical="bottom" textRotation="0" wrapText="false" indent="0" shrinkToFit="false"/>
      <protection locked="false" hidden="false"/>
    </xf>
    <xf numFmtId="179" fontId="16" fillId="15" borderId="15" xfId="0" applyFont="true" applyBorder="true" applyAlignment="false" applyProtection="true">
      <alignment horizontal="general" vertical="bottom" textRotation="0" wrapText="false" indent="0" shrinkToFit="false"/>
      <protection locked="true" hidden="false"/>
    </xf>
    <xf numFmtId="165" fontId="16" fillId="12" borderId="14" xfId="0" applyFont="true" applyBorder="true" applyAlignment="false" applyProtection="true">
      <alignment horizontal="general" vertical="bottom" textRotation="0" wrapText="false" indent="0" shrinkToFit="false"/>
      <protection locked="false" hidden="false"/>
    </xf>
    <xf numFmtId="172" fontId="16" fillId="14" borderId="13" xfId="0" applyFont="true" applyBorder="true" applyAlignment="false" applyProtection="true">
      <alignment horizontal="general" vertical="bottom" textRotation="0" wrapText="false" indent="0" shrinkToFit="false"/>
      <protection locked="false" hidden="false"/>
    </xf>
    <xf numFmtId="165" fontId="16" fillId="14" borderId="15" xfId="0" applyFont="true" applyBorder="true" applyAlignment="false" applyProtection="false">
      <alignment horizontal="general" vertical="bottom" textRotation="0" wrapText="false" indent="0" shrinkToFit="false"/>
      <protection locked="true" hidden="false"/>
    </xf>
    <xf numFmtId="172" fontId="16" fillId="15" borderId="14" xfId="0" applyFont="true" applyBorder="true" applyAlignment="false" applyProtection="true">
      <alignment horizontal="general" vertical="bottom" textRotation="0" wrapText="false" indent="0" shrinkToFit="false"/>
      <protection locked="false" hidden="false"/>
    </xf>
    <xf numFmtId="172" fontId="16" fillId="15" borderId="13" xfId="0" applyFont="true" applyBorder="true" applyAlignment="false" applyProtection="true">
      <alignment horizontal="general" vertical="bottom" textRotation="0" wrapText="false" indent="0" shrinkToFit="false"/>
      <protection locked="false" hidden="false"/>
    </xf>
    <xf numFmtId="172" fontId="16" fillId="15" borderId="15" xfId="0" applyFont="true" applyBorder="true" applyAlignment="false" applyProtection="true">
      <alignment horizontal="general" vertical="bottom" textRotation="0" wrapText="false" indent="0" shrinkToFit="false"/>
      <protection locked="false" hidden="false"/>
    </xf>
    <xf numFmtId="164" fontId="26" fillId="0" borderId="8" xfId="0" applyFont="true" applyBorder="true" applyAlignment="false" applyProtection="false">
      <alignment horizontal="general" vertical="bottom" textRotation="0" wrapText="false" indent="0" shrinkToFit="false"/>
      <protection locked="true" hidden="false"/>
    </xf>
    <xf numFmtId="179" fontId="26" fillId="0" borderId="7" xfId="0" applyFont="true" applyBorder="true" applyAlignment="false" applyProtection="false">
      <alignment horizontal="general" vertical="bottom" textRotation="0" wrapText="false" indent="0" shrinkToFit="false"/>
      <protection locked="true" hidden="false"/>
    </xf>
    <xf numFmtId="166" fontId="0" fillId="12" borderId="10" xfId="0" applyFont="true" applyBorder="true" applyAlignment="false" applyProtection="true">
      <alignment horizontal="general" vertical="bottom" textRotation="0" wrapText="false" indent="0" shrinkToFit="false"/>
      <protection locked="false" hidden="false"/>
    </xf>
    <xf numFmtId="164" fontId="0" fillId="12" borderId="10" xfId="0" applyFont="false" applyBorder="true" applyAlignment="false" applyProtection="true">
      <alignment horizontal="general" vertical="bottom" textRotation="0" wrapText="false" indent="0" shrinkToFit="false"/>
      <protection locked="false" hidden="false"/>
    </xf>
    <xf numFmtId="179" fontId="27" fillId="0" borderId="10" xfId="0" applyFont="true" applyBorder="true" applyAlignment="false" applyProtection="false">
      <alignment horizontal="general" vertical="bottom" textRotation="0" wrapText="false" indent="0" shrinkToFit="false"/>
      <protection locked="true" hidden="false"/>
    </xf>
    <xf numFmtId="166" fontId="20" fillId="12" borderId="10" xfId="0" applyFont="true" applyBorder="true" applyAlignment="false" applyProtection="true">
      <alignment horizontal="general" vertical="bottom" textRotation="0" wrapText="false" indent="0" shrinkToFit="false"/>
      <protection locked="false" hidden="false"/>
    </xf>
    <xf numFmtId="168" fontId="20" fillId="12" borderId="10" xfId="0" applyFont="true" applyBorder="true" applyAlignment="false" applyProtection="true">
      <alignment horizontal="general" vertical="bottom" textRotation="0" wrapText="false" indent="0" shrinkToFit="false"/>
      <protection locked="false" hidden="false"/>
    </xf>
    <xf numFmtId="164" fontId="20" fillId="12" borderId="10" xfId="0" applyFont="true" applyBorder="true" applyAlignment="false" applyProtection="true">
      <alignment horizontal="general" vertical="bottom" textRotation="0" wrapText="false" indent="0" shrinkToFit="false"/>
      <protection locked="fals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0" fillId="0" borderId="16" xfId="0" applyFont="false" applyBorder="true" applyAlignment="false" applyProtection="false">
      <alignment horizontal="general" vertical="bottom" textRotation="0" wrapText="false" indent="0" shrinkToFit="false"/>
      <protection locked="true" hidden="false"/>
    </xf>
    <xf numFmtId="166" fontId="0" fillId="0" borderId="16" xfId="0" applyFont="false" applyBorder="true" applyAlignment="false" applyProtection="false">
      <alignment horizontal="general" vertical="bottom" textRotation="0" wrapText="false" indent="0" shrinkToFit="false"/>
      <protection locked="true" hidden="false"/>
    </xf>
    <xf numFmtId="164" fontId="27" fillId="0" borderId="16" xfId="0" applyFont="true" applyBorder="tru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6"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80" fontId="16" fillId="0" borderId="0" xfId="17" applyFont="true" applyBorder="false" applyAlignment="false" applyProtection="false">
      <alignment horizontal="general" vertical="bottom" textRotation="0" wrapText="false" indent="0" shrinkToFit="false"/>
      <protection locked="true" hidden="false"/>
    </xf>
    <xf numFmtId="182" fontId="0" fillId="0" borderId="0" xfId="0" applyFont="false" applyBorder="false" applyAlignment="false" applyProtection="false">
      <alignment horizontal="general" vertical="bottom" textRotation="0" wrapText="false" indent="0" shrinkToFit="false"/>
      <protection locked="true" hidden="false"/>
    </xf>
    <xf numFmtId="183" fontId="0" fillId="0" borderId="0" xfId="0" applyFont="false" applyBorder="false" applyAlignment="false" applyProtection="false">
      <alignment horizontal="general" vertical="bottom" textRotation="0" wrapText="false" indent="0" shrinkToFit="false"/>
      <protection locked="true" hidden="false"/>
    </xf>
    <xf numFmtId="173"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fals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true" applyProtection="false">
      <alignment horizontal="right" vertical="bottom" textRotation="0" wrapText="false" indent="0" shrinkToFit="false"/>
      <protection locked="true" hidden="false"/>
    </xf>
    <xf numFmtId="171" fontId="16" fillId="0" borderId="0" xfId="17"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6" fontId="2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76" fontId="0" fillId="0" borderId="2" xfId="0" applyFont="true" applyBorder="true" applyAlignment="false" applyProtection="false">
      <alignment horizontal="general" vertical="bottom" textRotation="0" wrapText="false" indent="0" shrinkToFit="false"/>
      <protection locked="true" hidden="false"/>
    </xf>
    <xf numFmtId="164" fontId="27" fillId="0" borderId="2" xfId="0" applyFont="true" applyBorder="true" applyAlignment="false" applyProtection="false">
      <alignment horizontal="general" vertical="bottom" textRotation="0" wrapText="false" indent="0" shrinkToFit="false"/>
      <protection locked="true" hidden="false"/>
    </xf>
    <xf numFmtId="176" fontId="29" fillId="0" borderId="3" xfId="0" applyFont="true" applyBorder="true" applyAlignment="true" applyProtection="false">
      <alignment horizontal="right" vertical="bottom" textRotation="0" wrapText="false" indent="0" shrinkToFit="false"/>
      <protection locked="true" hidden="false"/>
    </xf>
    <xf numFmtId="164" fontId="27" fillId="0" borderId="12" xfId="0" applyFont="true" applyBorder="true" applyAlignment="false" applyProtection="false">
      <alignment horizontal="general" vertical="bottom" textRotation="0" wrapText="false" indent="0" shrinkToFit="false"/>
      <protection locked="true" hidden="false"/>
    </xf>
    <xf numFmtId="184" fontId="27" fillId="0" borderId="12" xfId="0" applyFont="true" applyBorder="true" applyAlignment="false" applyProtection="false">
      <alignment horizontal="general" vertical="bottom" textRotation="0" wrapText="false" indent="0" shrinkToFit="false"/>
      <protection locked="true" hidden="false"/>
    </xf>
    <xf numFmtId="176" fontId="27" fillId="0" borderId="2" xfId="0" applyFont="true" applyBorder="true" applyAlignment="false" applyProtection="false">
      <alignment horizontal="general" vertical="bottom" textRotation="0" wrapText="false" indent="0" shrinkToFit="false"/>
      <protection locked="true" hidden="false"/>
    </xf>
    <xf numFmtId="164" fontId="30" fillId="0" borderId="2" xfId="0" applyFont="true" applyBorder="true" applyAlignment="false" applyProtection="false">
      <alignment horizontal="general" vertical="bottom" textRotation="0" wrapText="false" indent="0" shrinkToFit="false"/>
      <protection locked="true" hidden="false"/>
    </xf>
    <xf numFmtId="176" fontId="29" fillId="0" borderId="2" xfId="0" applyFont="true" applyBorder="true" applyAlignment="true" applyProtection="false">
      <alignment horizontal="right" vertical="bottom" textRotation="0" wrapText="false" indent="0" shrinkToFit="false"/>
      <protection locked="true" hidden="false"/>
    </xf>
    <xf numFmtId="166" fontId="0" fillId="12" borderId="2" xfId="0" applyFont="true" applyBorder="true" applyAlignment="false" applyProtection="true">
      <alignment horizontal="general" vertical="bottom" textRotation="0" wrapText="false" indent="0" shrinkToFit="false"/>
      <protection locked="false" hidden="false"/>
    </xf>
    <xf numFmtId="170" fontId="0" fillId="12" borderId="2" xfId="0" applyFont="false" applyBorder="true" applyAlignment="false" applyProtection="true">
      <alignment horizontal="general" vertical="bottom" textRotation="0" wrapText="false" indent="0" shrinkToFit="false"/>
      <protection locked="false" hidden="false"/>
    </xf>
    <xf numFmtId="170" fontId="0" fillId="12" borderId="2" xfId="0" applyFont="false" applyBorder="true" applyAlignment="true" applyProtection="true">
      <alignment horizontal="right" vertical="bottom" textRotation="0" wrapText="false" indent="0" shrinkToFit="false"/>
      <protection locked="false" hidden="false"/>
    </xf>
    <xf numFmtId="164" fontId="30" fillId="0" borderId="6"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true">
      <alignment horizontal="general" vertical="bottom" textRotation="0" wrapText="false" indent="0" shrinkToFit="false"/>
      <protection locked="false" hidden="false"/>
    </xf>
    <xf numFmtId="170" fontId="0" fillId="0" borderId="2" xfId="0" applyFont="true" applyBorder="true" applyAlignment="false" applyProtection="false">
      <alignment horizontal="general" vertical="bottom" textRotation="0" wrapText="false" indent="0" shrinkToFit="false"/>
      <protection locked="true" hidden="false"/>
    </xf>
    <xf numFmtId="166" fontId="0" fillId="12" borderId="17" xfId="0" applyFont="true" applyBorder="true" applyAlignment="false" applyProtection="true">
      <alignment horizontal="general" vertical="bottom" textRotation="0" wrapText="false" indent="0" shrinkToFit="false"/>
      <protection locked="false" hidden="false"/>
    </xf>
    <xf numFmtId="170" fontId="0" fillId="12" borderId="17" xfId="0" applyFont="false" applyBorder="true" applyAlignment="false" applyProtection="true">
      <alignment horizontal="general" vertical="bottom" textRotation="0" wrapText="false" indent="0" shrinkToFit="false"/>
      <protection locked="false" hidden="false"/>
    </xf>
    <xf numFmtId="170" fontId="0" fillId="0" borderId="17" xfId="0" applyFont="false" applyBorder="true" applyAlignment="false" applyProtection="false">
      <alignment horizontal="general" vertical="bottom" textRotation="0" wrapText="false" indent="0" shrinkToFit="false"/>
      <protection locked="true" hidden="false"/>
    </xf>
    <xf numFmtId="164" fontId="27" fillId="0" borderId="17" xfId="0" applyFont="true" applyBorder="true" applyAlignment="false" applyProtection="false">
      <alignment horizontal="general" vertical="bottom" textRotation="0" wrapText="false" indent="0" shrinkToFit="false"/>
      <protection locked="true" hidden="false"/>
    </xf>
    <xf numFmtId="164" fontId="30" fillId="0" borderId="0" xfId="0" applyFont="true" applyBorder="true" applyAlignment="false" applyProtection="false">
      <alignment horizontal="general" vertical="bottom" textRotation="0" wrapText="false" indent="0" shrinkToFit="false"/>
      <protection locked="true" hidden="false"/>
    </xf>
    <xf numFmtId="164" fontId="0" fillId="0" borderId="17" xfId="0" applyFont="false" applyBorder="true" applyAlignment="false" applyProtection="true">
      <alignment horizontal="general" vertical="bottom" textRotation="0" wrapText="false" indent="0" shrinkToFit="false"/>
      <protection locked="false" hidden="false"/>
    </xf>
    <xf numFmtId="176" fontId="0" fillId="0" borderId="17" xfId="0" applyFont="false" applyBorder="true" applyAlignment="false" applyProtection="false">
      <alignment horizontal="general" vertical="bottom" textRotation="0" wrapText="false" indent="0" shrinkToFit="false"/>
      <protection locked="true" hidden="false"/>
    </xf>
    <xf numFmtId="164" fontId="0" fillId="0" borderId="17" xfId="0" applyFont="false" applyBorder="true" applyAlignment="false" applyProtection="false">
      <alignment horizontal="general" vertical="bottom" textRotation="0" wrapText="false" indent="0" shrinkToFit="false"/>
      <protection locked="true" hidden="false"/>
    </xf>
    <xf numFmtId="170" fontId="0" fillId="0" borderId="2" xfId="0" applyFont="false" applyBorder="true" applyAlignment="false" applyProtection="true">
      <alignment horizontal="general" vertical="bottom" textRotation="0" wrapText="false" indent="0" shrinkToFit="false"/>
      <protection locked="false" hidden="false"/>
    </xf>
    <xf numFmtId="170" fontId="0" fillId="0" borderId="2" xfId="0" applyFont="false" applyBorder="true" applyAlignment="true" applyProtection="false">
      <alignment horizontal="right" vertical="bottom" textRotation="0" wrapText="false" indent="0" shrinkToFit="false"/>
      <protection locked="true" hidden="false"/>
    </xf>
    <xf numFmtId="166" fontId="23" fillId="12" borderId="10" xfId="0" applyFont="true" applyBorder="true" applyAlignment="false" applyProtection="true">
      <alignment horizontal="general" vertical="bottom" textRotation="0" wrapText="false" indent="0" shrinkToFit="false"/>
      <protection locked="false" hidden="false"/>
    </xf>
    <xf numFmtId="172" fontId="0" fillId="12" borderId="17" xfId="0" applyFont="false" applyBorder="true" applyAlignment="false" applyProtection="true">
      <alignment horizontal="general" vertical="bottom" textRotation="0" wrapText="false" indent="0" shrinkToFit="false"/>
      <protection locked="false" hidden="false"/>
    </xf>
    <xf numFmtId="176" fontId="29" fillId="0" borderId="2" xfId="0" applyFont="true" applyBorder="true" applyAlignment="false" applyProtection="false">
      <alignment horizontal="general" vertical="bottom" textRotation="0" wrapText="false" indent="0" shrinkToFit="false"/>
      <protection locked="true" hidden="false"/>
    </xf>
    <xf numFmtId="164" fontId="30" fillId="0" borderId="12" xfId="0" applyFont="true" applyBorder="true" applyAlignment="false" applyProtection="false">
      <alignment horizontal="general" vertical="bottom" textRotation="0" wrapText="false" indent="0" shrinkToFit="false"/>
      <protection locked="true" hidden="false"/>
    </xf>
    <xf numFmtId="176" fontId="0" fillId="0" borderId="2" xfId="0" applyFont="false" applyBorder="true" applyAlignment="true" applyProtection="false">
      <alignment horizontal="right" vertical="bottom" textRotation="0" wrapText="false" indent="0" shrinkToFit="false"/>
      <protection locked="true" hidden="false"/>
    </xf>
    <xf numFmtId="164" fontId="20" fillId="0" borderId="0" xfId="0" applyFont="true" applyBorder="true" applyAlignment="false" applyProtection="false">
      <alignment horizontal="general" vertical="bottom" textRotation="0" wrapText="false" indent="0" shrinkToFit="false"/>
      <protection locked="true" hidden="false"/>
    </xf>
    <xf numFmtId="183" fontId="20" fillId="0" borderId="0" xfId="0" applyFont="true" applyBorder="true" applyAlignment="false" applyProtection="false">
      <alignment horizontal="general" vertical="bottom" textRotation="0" wrapText="false" indent="0" shrinkToFit="false"/>
      <protection locked="true" hidden="false"/>
    </xf>
    <xf numFmtId="164" fontId="31" fillId="0" borderId="0" xfId="0" applyFont="true" applyBorder="true" applyAlignment="false" applyProtection="false">
      <alignment horizontal="general" vertical="bottom" textRotation="0" wrapText="false" indent="0" shrinkToFit="false"/>
      <protection locked="true" hidden="false"/>
    </xf>
    <xf numFmtId="183" fontId="31" fillId="0" borderId="0" xfId="0" applyFont="true" applyBorder="true" applyAlignment="false" applyProtection="false">
      <alignment horizontal="general" vertical="bottom" textRotation="0" wrapText="false" indent="0" shrinkToFit="false"/>
      <protection locked="true" hidden="false"/>
    </xf>
    <xf numFmtId="164" fontId="21" fillId="0" borderId="0" xfId="0" applyFont="true" applyBorder="true" applyAlignment="false" applyProtection="false">
      <alignment horizontal="general" vertical="bottom" textRotation="0" wrapText="false" indent="0" shrinkToFit="false"/>
      <protection locked="true" hidden="false"/>
    </xf>
    <xf numFmtId="166" fontId="20" fillId="0" borderId="0" xfId="0" applyFont="true" applyBorder="true" applyAlignment="false" applyProtection="true">
      <alignment horizontal="general" vertical="bottom" textRotation="0" wrapText="false" indent="0" shrinkToFit="false"/>
      <protection locked="false" hidden="false"/>
    </xf>
    <xf numFmtId="181" fontId="20" fillId="0" borderId="0" xfId="0" applyFont="true" applyBorder="true" applyAlignment="false" applyProtection="true">
      <alignment horizontal="general" vertical="bottom" textRotation="0" wrapText="false" indent="0" shrinkToFit="false"/>
      <protection locked="fals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66" fontId="20" fillId="0" borderId="0" xfId="0" applyFont="true" applyBorder="true" applyAlignment="true" applyProtection="true">
      <alignment horizontal="right" vertical="bottom" textRotation="0" wrapText="false" indent="0" shrinkToFit="false"/>
      <protection locked="fals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83" fontId="20" fillId="16" borderId="18" xfId="0" applyFont="true" applyBorder="true" applyAlignment="false" applyProtection="false">
      <alignment horizontal="general" vertical="bottom" textRotation="0" wrapText="false" indent="0" shrinkToFit="false"/>
      <protection locked="true" hidden="false"/>
    </xf>
    <xf numFmtId="183" fontId="20" fillId="0" borderId="18" xfId="0" applyFont="true" applyBorder="true" applyAlignment="false" applyProtection="false">
      <alignment horizontal="general" vertical="bottom" textRotation="0" wrapText="false" indent="0" shrinkToFit="false"/>
      <protection locked="true" hidden="false"/>
    </xf>
    <xf numFmtId="164" fontId="0" fillId="0" borderId="0" xfId="35" applyFont="false" applyBorder="true" applyAlignment="false" applyProtection="true">
      <alignment horizontal="general" vertical="bottom" textRotation="0" wrapText="false" indent="0" shrinkToFit="false"/>
      <protection locked="true" hidden="false"/>
    </xf>
    <xf numFmtId="164" fontId="0" fillId="0" borderId="0" xfId="37" applyFont="true" applyBorder="true" applyAlignment="false" applyProtection="true">
      <alignment horizontal="general" vertical="bottom" textRotation="0" wrapText="false" indent="0" shrinkToFit="false"/>
      <protection locked="true" hidden="false"/>
    </xf>
    <xf numFmtId="164" fontId="0" fillId="0" borderId="0" xfId="38" applyFont="true" applyBorder="true" applyAlignment="false" applyProtection="true">
      <alignment horizontal="left" vertical="bottom" textRotation="0" wrapText="false" indent="0" shrinkToFit="false"/>
      <protection locked="true" hidden="false"/>
    </xf>
    <xf numFmtId="164" fontId="0" fillId="0" borderId="0" xfId="38" applyFont="false" applyBorder="true" applyAlignment="false" applyProtection="true">
      <alignment horizontal="left" vertical="bottom" textRotation="0" wrapText="false" indent="0" shrinkToFit="false"/>
      <protection locked="true" hidden="false"/>
    </xf>
    <xf numFmtId="164" fontId="0" fillId="0" borderId="0" xfId="40" applyFont="false" applyBorder="true" applyAlignment="false" applyProtection="true">
      <alignment horizontal="general" vertical="bottom" textRotation="0" wrapText="false" indent="0" shrinkToFit="false"/>
      <protection locked="true" hidden="false"/>
    </xf>
    <xf numFmtId="183" fontId="0" fillId="0" borderId="0" xfId="40" applyFont="false" applyBorder="true" applyAlignment="false" applyProtection="true">
      <alignment horizontal="general" vertical="bottom" textRotation="0" wrapText="false" indent="0" shrinkToFit="false"/>
      <protection locked="true" hidden="false"/>
    </xf>
    <xf numFmtId="164" fontId="0" fillId="0" borderId="19" xfId="35" applyFont="false" applyBorder="true" applyAlignment="false" applyProtection="false">
      <alignment horizontal="general" vertical="bottom" textRotation="0" wrapText="false" indent="0" shrinkToFit="false"/>
      <protection locked="true" hidden="false"/>
    </xf>
    <xf numFmtId="164" fontId="0" fillId="0" borderId="20" xfId="37" applyFont="true" applyBorder="true" applyAlignment="false" applyProtection="false">
      <alignment horizontal="general" vertical="bottom" textRotation="0" wrapText="false" indent="0" shrinkToFit="false"/>
      <protection locked="true" hidden="false"/>
    </xf>
    <xf numFmtId="164" fontId="0" fillId="0" borderId="21" xfId="35" applyFont="false" applyBorder="true" applyAlignment="false" applyProtection="false">
      <alignment horizontal="general" vertical="bottom" textRotation="0" wrapText="false" indent="0" shrinkToFit="false"/>
      <protection locked="true" hidden="false"/>
    </xf>
    <xf numFmtId="164" fontId="0" fillId="0" borderId="22" xfId="35" applyFont="false" applyBorder="true" applyAlignment="false" applyProtection="false">
      <alignment horizontal="general" vertical="bottom" textRotation="0" wrapText="false" indent="0" shrinkToFit="false"/>
      <protection locked="true" hidden="false"/>
    </xf>
    <xf numFmtId="164" fontId="0" fillId="0" borderId="23" xfId="37" applyFont="true" applyBorder="true" applyAlignment="false" applyProtection="false">
      <alignment horizontal="general" vertical="bottom" textRotation="0" wrapText="false" indent="0" shrinkToFit="false"/>
      <protection locked="true" hidden="false"/>
    </xf>
    <xf numFmtId="164" fontId="0" fillId="0" borderId="7" xfId="38" applyFont="true" applyBorder="true" applyAlignment="false" applyProtection="false">
      <alignment horizontal="left" vertical="bottom" textRotation="0" wrapText="false" indent="0" shrinkToFit="false"/>
      <protection locked="true" hidden="false"/>
    </xf>
    <xf numFmtId="164" fontId="0" fillId="0" borderId="8" xfId="38" applyFont="true" applyBorder="true" applyAlignment="false" applyProtection="false">
      <alignment horizontal="left" vertical="bottom" textRotation="0" wrapText="false" indent="0" shrinkToFit="false"/>
      <protection locked="true" hidden="false"/>
    </xf>
    <xf numFmtId="164" fontId="0" fillId="0" borderId="24" xfId="38" applyFont="true" applyBorder="true" applyAlignment="false" applyProtection="false">
      <alignment horizontal="left" vertical="bottom" textRotation="0" wrapText="false" indent="0" shrinkToFit="false"/>
      <protection locked="true" hidden="false"/>
    </xf>
    <xf numFmtId="164" fontId="0" fillId="0" borderId="25" xfId="38" applyFont="true" applyBorder="true" applyAlignment="false" applyProtection="false">
      <alignment horizontal="left" vertical="bottom" textRotation="0" wrapText="false" indent="0" shrinkToFit="false"/>
      <protection locked="true" hidden="false"/>
    </xf>
    <xf numFmtId="164" fontId="0" fillId="0" borderId="26" xfId="40" applyFont="false" applyBorder="true" applyAlignment="false" applyProtection="false">
      <alignment horizontal="general" vertical="bottom" textRotation="0" wrapText="false" indent="0" shrinkToFit="false"/>
      <protection locked="true" hidden="false"/>
    </xf>
    <xf numFmtId="164" fontId="0" fillId="0" borderId="16" xfId="40" applyFont="false" applyBorder="true" applyAlignment="false" applyProtection="false">
      <alignment horizontal="general" vertical="bottom" textRotation="0" wrapText="false" indent="0" shrinkToFit="false"/>
      <protection locked="true" hidden="false"/>
    </xf>
    <xf numFmtId="183" fontId="0" fillId="0" borderId="27" xfId="40" applyFont="false" applyBorder="true" applyAlignment="false" applyProtection="false">
      <alignment horizontal="general" vertical="bottom" textRotation="0" wrapText="false" indent="0" shrinkToFit="false"/>
      <protection locked="true" hidden="false"/>
    </xf>
    <xf numFmtId="164" fontId="0" fillId="0" borderId="28" xfId="38" applyFont="true" applyBorder="true" applyAlignment="false" applyProtection="false">
      <alignment horizontal="left" vertical="bottom" textRotation="0" wrapText="false" indent="0" shrinkToFit="false"/>
      <protection locked="true" hidden="false"/>
    </xf>
    <xf numFmtId="164" fontId="0" fillId="0" borderId="10" xfId="40" applyFont="false" applyBorder="true" applyAlignment="false" applyProtection="false">
      <alignment horizontal="general" vertical="bottom" textRotation="0" wrapText="false" indent="0" shrinkToFit="false"/>
      <protection locked="true" hidden="false"/>
    </xf>
    <xf numFmtId="164" fontId="0" fillId="0" borderId="0" xfId="40" applyFont="false" applyBorder="false" applyAlignment="false" applyProtection="false">
      <alignment horizontal="general" vertical="bottom" textRotation="0" wrapText="false" indent="0" shrinkToFit="false"/>
      <protection locked="true" hidden="false"/>
    </xf>
    <xf numFmtId="183" fontId="0" fillId="0" borderId="29" xfId="40" applyFont="false" applyBorder="true" applyAlignment="false" applyProtection="false">
      <alignment horizontal="general" vertical="bottom" textRotation="0" wrapText="false" indent="0" shrinkToFit="false"/>
      <protection locked="true" hidden="false"/>
    </xf>
    <xf numFmtId="164" fontId="0" fillId="0" borderId="7" xfId="40" applyFont="false" applyBorder="true" applyAlignment="false" applyProtection="false">
      <alignment horizontal="general" vertical="bottom" textRotation="0" wrapText="false" indent="0" shrinkToFit="false"/>
      <protection locked="true" hidden="false"/>
    </xf>
    <xf numFmtId="164" fontId="0" fillId="0" borderId="8" xfId="40" applyFont="false" applyBorder="true" applyAlignment="false" applyProtection="false">
      <alignment horizontal="general" vertical="bottom" textRotation="0" wrapText="false" indent="0" shrinkToFit="false"/>
      <protection locked="true" hidden="false"/>
    </xf>
    <xf numFmtId="164" fontId="0" fillId="0" borderId="24" xfId="40" applyFont="false" applyBorder="true" applyAlignment="false" applyProtection="false">
      <alignment horizontal="general" vertical="bottom" textRotation="0" wrapText="false" indent="0" shrinkToFit="false"/>
      <protection locked="true" hidden="false"/>
    </xf>
    <xf numFmtId="164" fontId="16" fillId="0" borderId="30" xfId="39" applyFont="true" applyBorder="true" applyAlignment="false" applyProtection="false">
      <alignment horizontal="left" vertical="bottom" textRotation="0" wrapText="false" indent="0" shrinkToFit="false"/>
      <protection locked="true" hidden="false"/>
    </xf>
    <xf numFmtId="164" fontId="16" fillId="0" borderId="31" xfId="36" applyFont="false" applyBorder="true" applyAlignment="false" applyProtection="false">
      <alignment horizontal="general" vertical="bottom" textRotation="0" wrapText="false" indent="0" shrinkToFit="false"/>
      <protection locked="true" hidden="false"/>
    </xf>
    <xf numFmtId="164" fontId="16" fillId="0" borderId="32" xfId="36" applyFont="false" applyBorder="true" applyAlignment="false" applyProtection="false">
      <alignment horizontal="general" vertical="bottom" textRotation="0" wrapText="false" indent="0" shrinkToFit="false"/>
      <protection locked="true" hidden="false"/>
    </xf>
    <xf numFmtId="183" fontId="16" fillId="0" borderId="33" xfId="36" applyFont="false" applyBorder="true" applyAlignment="false" applyProtection="false">
      <alignment horizontal="general" vertical="bottom" textRotation="0" wrapText="false" indent="0" shrinkToFit="false"/>
      <protection locked="true" hidden="false"/>
    </xf>
    <xf numFmtId="164" fontId="16" fillId="0" borderId="0" xfId="39" applyFont="false" applyBorder="true" applyAlignment="false" applyProtection="true">
      <alignment horizontal="left" vertical="bottom" textRotation="0" wrapText="false" indent="0" shrinkToFit="false"/>
      <protection locked="true" hidden="false"/>
    </xf>
    <xf numFmtId="164" fontId="16" fillId="0" borderId="0" xfId="36" applyFont="false" applyBorder="true" applyAlignment="false" applyProtection="true">
      <alignment horizontal="general" vertical="bottom" textRotation="0" wrapText="false" indent="0" shrinkToFit="false"/>
      <protection locked="true" hidden="false"/>
    </xf>
    <xf numFmtId="183" fontId="16" fillId="0" borderId="0" xfId="36" applyFont="false" applyBorder="true" applyAlignment="false" applyProtection="true">
      <alignment horizontal="general" vertical="bottom" textRotation="0" wrapText="false" indent="0" shrinkToFit="false"/>
      <protection locked="true" hidden="false"/>
    </xf>
  </cellXfs>
  <cellStyles count="32">
    <cellStyle name="Normal" xfId="0" builtinId="0"/>
    <cellStyle name="Comma" xfId="15" builtinId="3"/>
    <cellStyle name="Comma [0]" xfId="16" builtinId="6"/>
    <cellStyle name="Currency" xfId="17" builtinId="4"/>
    <cellStyle name="Currency [0]" xfId="18" builtinId="7"/>
    <cellStyle name="Percent" xfId="19" builtinId="5"/>
    <cellStyle name="Accent 1 5" xfId="20"/>
    <cellStyle name="Accent 2 6" xfId="21"/>
    <cellStyle name="Accent 3 7" xfId="22"/>
    <cellStyle name="Accent 4" xfId="23"/>
    <cellStyle name="Bad 8" xfId="24"/>
    <cellStyle name="Ergebnis 2" xfId="25"/>
    <cellStyle name="Error 9" xfId="26"/>
    <cellStyle name="Footnote 10" xfId="27"/>
    <cellStyle name="Good 11" xfId="28"/>
    <cellStyle name="Heading (user) 12" xfId="29"/>
    <cellStyle name="Heading 1 13" xfId="30"/>
    <cellStyle name="Heading 2 14" xfId="31"/>
    <cellStyle name="Überschrift 1" xfId="32"/>
    <cellStyle name="Hyperlink 15" xfId="33"/>
    <cellStyle name="Note 16" xfId="34"/>
    <cellStyle name="Pivot-Tabelle Ecke" xfId="35"/>
    <cellStyle name="Pivot-Tabelle Ergebnis" xfId="36"/>
    <cellStyle name="Pivot-Tabelle Feld" xfId="37"/>
    <cellStyle name="Pivot-Tabelle Kategorie" xfId="38"/>
    <cellStyle name="Pivot-Tabelle Titel" xfId="39"/>
    <cellStyle name="Pivot-Tabelle Wert" xfId="40"/>
    <cellStyle name="Result 1" xfId="41"/>
    <cellStyle name="Result 2" xfId="42"/>
    <cellStyle name="Status 17" xfId="43"/>
    <cellStyle name="Text 18" xfId="44"/>
    <cellStyle name="Warning 19" xfId="45"/>
  </cellStyles>
  <dxfs count="1">
    <dxf>
      <fill>
        <patternFill patternType="solid">
          <fgColor rgb="00FFFFFF"/>
        </patternFill>
      </fill>
    </dxf>
  </dxfs>
  <colors>
    <indexedColors>
      <rgbColor rgb="FF000000"/>
      <rgbColor rgb="FFFFFFFF"/>
      <rgbColor rgb="FFFF0000"/>
      <rgbColor rgb="FF00FF00"/>
      <rgbColor rgb="FF0000EE"/>
      <rgbColor rgb="FFFFF200"/>
      <rgbColor rgb="FFFF00FF"/>
      <rgbColor rgb="FF00FFFF"/>
      <rgbColor rgb="FFCC0000"/>
      <rgbColor rgb="FF006600"/>
      <rgbColor rgb="FF000080"/>
      <rgbColor rgb="FF808000"/>
      <rgbColor rgb="FF800080"/>
      <rgbColor rgb="FF008080"/>
      <rgbColor rgb="FFC2E0AE"/>
      <rgbColor rgb="FF808080"/>
      <rgbColor rgb="FF9999FF"/>
      <rgbColor rgb="FFCE181E"/>
      <rgbColor rgb="FFFFFFCC"/>
      <rgbColor rgb="FFDEEBF7"/>
      <rgbColor rgb="FF660066"/>
      <rgbColor rgb="FFFF8080"/>
      <rgbColor rgb="FF0066CC"/>
      <rgbColor rgb="FFDDDDDD"/>
      <rgbColor rgb="FF000080"/>
      <rgbColor rgb="FFFF00FF"/>
      <rgbColor rgb="FFFFFBCC"/>
      <rgbColor rgb="FF00FFFF"/>
      <rgbColor rgb="FF800080"/>
      <rgbColor rgb="FF800000"/>
      <rgbColor rgb="FF008080"/>
      <rgbColor rgb="FF0000FF"/>
      <rgbColor rgb="FF00CCFF"/>
      <rgbColor rgb="FFEEEEEE"/>
      <rgbColor rgb="FFCCFFCC"/>
      <rgbColor rgb="FFFFFF99"/>
      <rgbColor rgb="FF9DC3E6"/>
      <rgbColor rgb="FFFEDCC6"/>
      <rgbColor rgb="FFCC99FF"/>
      <rgbColor rgb="FFFFCCCC"/>
      <rgbColor rgb="FF3366FF"/>
      <rgbColor rgb="FF33CCCC"/>
      <rgbColor rgb="FF99CC00"/>
      <rgbColor rgb="FFFFC000"/>
      <rgbColor rgb="FFFF9900"/>
      <rgbColor rgb="FFFF6600"/>
      <rgbColor rgb="FF666699"/>
      <rgbColor rgb="FF969696"/>
      <rgbColor rgb="FF003366"/>
      <rgbColor rgb="FF339966"/>
      <rgbColor rgb="FF003300"/>
      <rgbColor rgb="FF333300"/>
      <rgbColor rgb="FFC9211E"/>
      <rgbColor rgb="FFED1C24"/>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5</xdr:col>
      <xdr:colOff>123120</xdr:colOff>
      <xdr:row>52</xdr:row>
      <xdr:rowOff>18360</xdr:rowOff>
    </xdr:to>
    <xdr:sp>
      <xdr:nvSpPr>
        <xdr:cNvPr id="0" name="_x005F_x0000_t202" hidden="1"/>
        <xdr:cNvSpPr/>
      </xdr:nvSpPr>
      <xdr:spPr>
        <a:xfrm>
          <a:off x="0" y="0"/>
          <a:ext cx="9654480" cy="8933760"/>
        </a:xfrm>
        <a:prstGeom prst="rect">
          <a:avLst/>
        </a:prstGeom>
        <a:solidFill>
          <a:srgbClr val="ffffff"/>
        </a:solidFill>
        <a:ln w="9525">
          <a:solidFill>
            <a:srgbClr val="000000"/>
          </a:solidFill>
          <a:miter/>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1"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2"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3"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4"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5"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6"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7"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8"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9"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10"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11"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12"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13"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14"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15"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16"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17"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18"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19"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20"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21"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2"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3"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4"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5"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6"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7"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8"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29"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0"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1"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2"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3"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4"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5"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6"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7"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8"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39"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0"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1"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2"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3"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4"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5"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6"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7"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8"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49"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0"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1"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2"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3"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4"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5"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6"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7"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8"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59"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0"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1"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2"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3"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4"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5"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6"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7"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8"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128880</xdr:colOff>
      <xdr:row>54</xdr:row>
      <xdr:rowOff>60120</xdr:rowOff>
    </xdr:to>
    <xdr:sp>
      <xdr:nvSpPr>
        <xdr:cNvPr id="69" name="AutoShape 2"/>
        <xdr:cNvSpPr/>
      </xdr:nvSpPr>
      <xdr:spPr>
        <a:xfrm>
          <a:off x="0" y="0"/>
          <a:ext cx="9660240" cy="931860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70"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71"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123120</xdr:colOff>
      <xdr:row>52</xdr:row>
      <xdr:rowOff>18360</xdr:rowOff>
    </xdr:to>
    <xdr:sp>
      <xdr:nvSpPr>
        <xdr:cNvPr id="72" name="AutoShape 2"/>
        <xdr:cNvSpPr/>
      </xdr:nvSpPr>
      <xdr:spPr>
        <a:xfrm>
          <a:off x="0" y="0"/>
          <a:ext cx="9654480" cy="8933760"/>
        </a:xfrm>
        <a:solidFill>
          <a:srgbClr val="ffffff"/>
        </a:solidFill>
        <a:ln w="9525">
          <a:solidFill>
            <a:srgbClr val="000000"/>
          </a:solidFill>
          <a:round/>
        </a:ln>
      </xdr:spPr>
      <xdr:style>
        <a:lnRef idx="0"/>
        <a:fillRef idx="0"/>
        <a:effectRef idx="0"/>
        <a:fontRef idx="minor"/>
      </xdr:style>
    </xdr:sp>
    <xdr:clientData/>
  </xdr:twoCellAnchor>
  <xdr:twoCellAnchor editAs="twoCell">
    <xdr:from>
      <xdr:col>0</xdr:col>
      <xdr:colOff>0</xdr:colOff>
      <xdr:row>0</xdr:row>
      <xdr:rowOff>0</xdr:rowOff>
    </xdr:from>
    <xdr:to>
      <xdr:col>5</xdr:col>
      <xdr:colOff>138960</xdr:colOff>
      <xdr:row>53</xdr:row>
      <xdr:rowOff>100800</xdr:rowOff>
    </xdr:to>
    <xdr:sp>
      <xdr:nvSpPr>
        <xdr:cNvPr id="73" name="AutoShape 2"/>
        <xdr:cNvSpPr/>
      </xdr:nvSpPr>
      <xdr:spPr>
        <a:xfrm>
          <a:off x="0" y="0"/>
          <a:ext cx="9670320" cy="9187560"/>
        </a:xfrm>
        <a:solidFill>
          <a:srgbClr val="ffffff"/>
        </a:solidFill>
        <a:ln w="9525">
          <a:solidFill>
            <a:srgbClr val="000000"/>
          </a:solidFill>
          <a:round/>
        </a:ln>
      </xdr:spPr>
      <xdr:style>
        <a:lnRef idx="0"/>
        <a:fillRef idx="0"/>
        <a:effectRef idx="0"/>
        <a:fontRef idx="minor"/>
      </xdr:style>
    </xdr:sp>
    <xdr:clientData/>
  </xdr:twoCellAnchor>
</xdr:wsDr>
</file>

<file path=xl/tables/table1.xml><?xml version="1.0" encoding="utf-8"?>
<table xmlns="http://schemas.openxmlformats.org/spreadsheetml/2006/main" id="1" name="Tabelle2" displayName="Tabelle2" ref="A1:J364" headerRowCount="1" totalsRowCount="0" totalsRowShown="0">
  <autoFilter ref="A1:J364"/>
  <tableColumns count="10">
    <tableColumn id="1" name="ID"/>
    <tableColumn id="2" name="Wohnung"/>
    <tableColumn id="3" name="Raum"/>
    <tableColumn id="4" name="Typ"/>
    <tableColumn id="5" name="Seriennummer"/>
    <tableColumn id="6" name="Wert 31.12.2021"/>
    <tableColumn id="7" name="Wert 31.12.2020"/>
    <tableColumn id="8" name="Verbrauch Kaltwasser"/>
    <tableColumn id="9" name="Verbrauch Warm"/>
    <tableColumn id="10" name="Verbrauch Ista"/>
  </tableColumns>
</tabl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10.xml.rels><?xml version="1.0" encoding="UTF-8"?>
<Relationships xmlns="http://schemas.openxmlformats.org/package/2006/relationships"><Relationship Id="rId1" Type="http://schemas.openxmlformats.org/officeDocument/2006/relationships/table" Target="../tables/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40"/>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A29" activeCellId="1" sqref="G4:G37 A29"/>
    </sheetView>
  </sheetViews>
  <sheetFormatPr defaultColWidth="10.56640625" defaultRowHeight="13.5" zeroHeight="false" outlineLevelRow="0" outlineLevelCol="0"/>
  <cols>
    <col collapsed="false" customWidth="true" hidden="false" outlineLevel="0" max="1" min="1" style="0" width="80.84"/>
  </cols>
  <sheetData>
    <row r="1" customFormat="false" ht="13.5" hidden="false" customHeight="false" outlineLevel="0" collapsed="false">
      <c r="A1" s="1" t="s">
        <v>0</v>
      </c>
    </row>
    <row r="2" customFormat="false" ht="13.5" hidden="false" customHeight="false" outlineLevel="0" collapsed="false">
      <c r="A2" s="0" t="s">
        <v>1</v>
      </c>
      <c r="B2" s="2"/>
    </row>
    <row r="3" customFormat="false" ht="13.5" hidden="false" customHeight="false" outlineLevel="0" collapsed="false">
      <c r="A3" s="0" t="s">
        <v>2</v>
      </c>
    </row>
    <row r="5" customFormat="false" ht="13.5" hidden="false" customHeight="false" outlineLevel="0" collapsed="false">
      <c r="A5" s="1" t="s">
        <v>3</v>
      </c>
    </row>
    <row r="6" customFormat="false" ht="13.5" hidden="false" customHeight="false" outlineLevel="0" collapsed="false">
      <c r="A6" s="0" t="s">
        <v>4</v>
      </c>
    </row>
    <row r="9" customFormat="false" ht="13.5" hidden="false" customHeight="false" outlineLevel="0" collapsed="false">
      <c r="A9" s="1" t="s">
        <v>5</v>
      </c>
    </row>
    <row r="10" customFormat="false" ht="13.5" hidden="false" customHeight="false" outlineLevel="0" collapsed="false">
      <c r="A10" s="0" t="s">
        <v>6</v>
      </c>
    </row>
    <row r="12" customFormat="false" ht="13.5" hidden="false" customHeight="false" outlineLevel="0" collapsed="false">
      <c r="D12" s="3"/>
    </row>
    <row r="13" customFormat="false" ht="13.5" hidden="false" customHeight="false" outlineLevel="0" collapsed="false">
      <c r="A13" s="1" t="s">
        <v>7</v>
      </c>
    </row>
    <row r="14" customFormat="false" ht="13.5" hidden="false" customHeight="false" outlineLevel="0" collapsed="false">
      <c r="A14" s="0" t="s">
        <v>8</v>
      </c>
    </row>
    <row r="15" customFormat="false" ht="13.5" hidden="false" customHeight="false" outlineLevel="0" collapsed="false">
      <c r="A15" s="0" t="s">
        <v>9</v>
      </c>
    </row>
    <row r="16" customFormat="false" ht="13.5" hidden="false" customHeight="false" outlineLevel="0" collapsed="false">
      <c r="A16" s="0" t="s">
        <v>10</v>
      </c>
    </row>
    <row r="17" customFormat="false" ht="13.5" hidden="false" customHeight="false" outlineLevel="0" collapsed="false">
      <c r="A17" s="0" t="s">
        <v>11</v>
      </c>
    </row>
    <row r="19" customFormat="false" ht="13.5" hidden="false" customHeight="false" outlineLevel="0" collapsed="false">
      <c r="A19" s="1" t="s">
        <v>12</v>
      </c>
    </row>
    <row r="20" customFormat="false" ht="13.5" hidden="false" customHeight="false" outlineLevel="0" collapsed="false">
      <c r="A20" s="0" t="s">
        <v>13</v>
      </c>
    </row>
    <row r="22" customFormat="false" ht="13.5" hidden="false" customHeight="false" outlineLevel="0" collapsed="false">
      <c r="A22" s="1" t="s">
        <v>14</v>
      </c>
    </row>
    <row r="23" customFormat="false" ht="13.5" hidden="false" customHeight="false" outlineLevel="0" collapsed="false">
      <c r="A23" s="0" t="s">
        <v>15</v>
      </c>
    </row>
    <row r="26" customFormat="false" ht="13.5" hidden="false" customHeight="false" outlineLevel="0" collapsed="false">
      <c r="A26" s="1" t="s">
        <v>16</v>
      </c>
    </row>
    <row r="27" customFormat="false" ht="13.5" hidden="false" customHeight="false" outlineLevel="0" collapsed="false">
      <c r="A27" s="0" t="s">
        <v>17</v>
      </c>
    </row>
    <row r="28" customFormat="false" ht="13.5" hidden="false" customHeight="false" outlineLevel="0" collapsed="false">
      <c r="A28" s="0" t="s">
        <v>18</v>
      </c>
    </row>
    <row r="30" customFormat="false" ht="13.5" hidden="false" customHeight="false" outlineLevel="0" collapsed="false">
      <c r="A30" s="1" t="s">
        <v>19</v>
      </c>
    </row>
    <row r="31" customFormat="false" ht="13.5" hidden="false" customHeight="false" outlineLevel="0" collapsed="false">
      <c r="A31" s="0" t="s">
        <v>20</v>
      </c>
    </row>
    <row r="32" customFormat="false" ht="13.5" hidden="false" customHeight="false" outlineLevel="0" collapsed="false">
      <c r="A32" s="0" t="s">
        <v>21</v>
      </c>
    </row>
    <row r="33" customFormat="false" ht="13.5" hidden="false" customHeight="false" outlineLevel="0" collapsed="false">
      <c r="A33" s="0" t="s">
        <v>22</v>
      </c>
    </row>
    <row r="36" customFormat="false" ht="13.5" hidden="false" customHeight="false" outlineLevel="0" collapsed="false">
      <c r="A36" s="4" t="s">
        <v>23</v>
      </c>
    </row>
    <row r="37" customFormat="false" ht="13.5" hidden="false" customHeight="false" outlineLevel="0" collapsed="false">
      <c r="A37" s="0" t="s">
        <v>24</v>
      </c>
    </row>
    <row r="38" customFormat="false" ht="13.5" hidden="false" customHeight="false" outlineLevel="0" collapsed="false">
      <c r="A38" s="0" t="s">
        <v>25</v>
      </c>
    </row>
    <row r="40" customFormat="false" ht="13.5" hidden="false" customHeight="false" outlineLevel="0" collapsed="false">
      <c r="A40" s="1" t="s">
        <v>26</v>
      </c>
    </row>
  </sheetData>
  <printOptions headings="false" gridLines="false" gridLinesSet="true" horizontalCentered="false" verticalCentered="false"/>
  <pageMargins left="0" right="0" top="0.39375" bottom="0.39375" header="0.511811023622047" footer="0.511811023622047"/>
  <pageSetup paperSize="77" scale="100" fitToWidth="1" fitToHeight="1" pageOrder="overThenDown" orientation="landscape" blackAndWhite="false" draft="false" cellComments="none" horizontalDpi="300" verticalDpi="300" copies="1"/>
  <headerFooter differentFirst="false" differentOddEven="false">
    <oddHeader/>
    <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1" sqref="G4:G37 B2"/>
    </sheetView>
  </sheetViews>
  <sheetFormatPr defaultColWidth="10.6015625" defaultRowHeight="13.5" zeroHeight="false" outlineLevelRow="0" outlineLevelCol="0"/>
  <cols>
    <col collapsed="false" customWidth="true" hidden="false" outlineLevel="0" max="1" min="1" style="0" width="35.58"/>
    <col collapsed="false" customWidth="true" hidden="false" outlineLevel="0" max="2" min="2" style="0" width="43.08"/>
  </cols>
  <sheetData>
    <row r="1" customFormat="false" ht="13.5" hidden="false" customHeight="false" outlineLevel="0" collapsed="false">
      <c r="A1" s="1" t="s">
        <v>27</v>
      </c>
    </row>
    <row r="2" customFormat="false" ht="13.5" hidden="false" customHeight="false" outlineLevel="0" collapsed="false">
      <c r="A2" s="0" t="s">
        <v>28</v>
      </c>
      <c r="B2" s="5"/>
    </row>
    <row r="6" customFormat="false" ht="13.5" hidden="false" customHeight="false" outlineLevel="0" collapsed="false">
      <c r="A6" s="1" t="s">
        <v>29</v>
      </c>
    </row>
    <row r="7" customFormat="false" ht="13.5" hidden="false" customHeight="false" outlineLevel="0" collapsed="false">
      <c r="A7" s="0" t="s">
        <v>30</v>
      </c>
      <c r="B7" s="5" t="s">
        <v>31</v>
      </c>
    </row>
    <row r="8" customFormat="false" ht="13.5" hidden="false" customHeight="false" outlineLevel="0" collapsed="false">
      <c r="A8" s="0" t="s">
        <v>32</v>
      </c>
      <c r="B8" s="0" t="s">
        <v>33</v>
      </c>
      <c r="C8" s="0" t="s">
        <v>34</v>
      </c>
    </row>
    <row r="9" s="6" customFormat="true" ht="13.5" hidden="false" customHeight="false" outlineLevel="0" collapsed="false">
      <c r="A9" s="6" t="s">
        <v>35</v>
      </c>
      <c r="B9" s="6" t="s">
        <v>36</v>
      </c>
      <c r="C9" s="6" t="s">
        <v>37</v>
      </c>
    </row>
  </sheetData>
  <printOptions headings="false" gridLines="false" gridLinesSet="true" horizontalCentered="false" verticalCentered="false"/>
  <pageMargins left="0.7" right="0.7"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42"/>
  <sheetViews>
    <sheetView showFormulas="false" showGridLines="true" showRowColHeaders="true" showZeros="true" rightToLeft="false" tabSelected="false" showOutlineSymbols="true" defaultGridColor="true" view="normal" topLeftCell="A14" colorId="64" zoomScale="100" zoomScaleNormal="100" zoomScalePageLayoutView="100" workbookViewId="0">
      <selection pane="topLeft" activeCell="E27" activeCellId="1" sqref="G4:G37 E27"/>
    </sheetView>
  </sheetViews>
  <sheetFormatPr defaultColWidth="10.56640625" defaultRowHeight="13.5" zeroHeight="false" outlineLevelRow="0" outlineLevelCol="0"/>
  <cols>
    <col collapsed="false" customWidth="true" hidden="false" outlineLevel="0" max="1" min="1" style="0" width="2.75"/>
    <col collapsed="false" customWidth="true" hidden="false" outlineLevel="0" max="2" min="2" style="0" width="12.5"/>
    <col collapsed="false" customWidth="true" hidden="false" outlineLevel="0" max="3" min="3" style="0" width="34.25"/>
    <col collapsed="false" customWidth="true" hidden="false" outlineLevel="0" max="4" min="4" style="0" width="18.5"/>
    <col collapsed="false" customWidth="true" hidden="false" outlineLevel="0" max="5" min="5" style="7" width="15.25"/>
    <col collapsed="false" customWidth="true" hidden="false" outlineLevel="0" max="6" min="6" style="0" width="40.25"/>
    <col collapsed="false" customWidth="true" hidden="false" outlineLevel="0" max="9" min="9" style="7" width="12.75"/>
    <col collapsed="false" customWidth="true" hidden="false" outlineLevel="0" max="10" min="10" style="0" width="51.33"/>
  </cols>
  <sheetData>
    <row r="1" customFormat="false" ht="13.5" hidden="false" customHeight="false" outlineLevel="0" collapsed="false">
      <c r="A1" s="8" t="s">
        <v>38</v>
      </c>
      <c r="B1" s="8" t="s">
        <v>39</v>
      </c>
      <c r="C1" s="8" t="s">
        <v>40</v>
      </c>
      <c r="D1" s="8" t="s">
        <v>41</v>
      </c>
      <c r="E1" s="9" t="s">
        <v>42</v>
      </c>
      <c r="F1" s="8" t="s">
        <v>43</v>
      </c>
      <c r="G1" s="8" t="s">
        <v>44</v>
      </c>
      <c r="H1" s="10" t="s">
        <v>45</v>
      </c>
      <c r="I1" s="9" t="s">
        <v>46</v>
      </c>
      <c r="J1" s="8" t="s">
        <v>47</v>
      </c>
      <c r="K1" s="1" t="s">
        <v>48</v>
      </c>
    </row>
    <row r="2" customFormat="false" ht="13.5" hidden="false" customHeight="false" outlineLevel="0" collapsed="false">
      <c r="A2" s="10"/>
      <c r="B2" s="11" t="s">
        <v>49</v>
      </c>
      <c r="C2" s="11" t="s">
        <v>50</v>
      </c>
      <c r="D2" s="11" t="s">
        <v>51</v>
      </c>
      <c r="E2" s="12" t="n">
        <v>271.32</v>
      </c>
      <c r="F2" s="11" t="s">
        <v>52</v>
      </c>
      <c r="G2" s="13" t="n">
        <v>1</v>
      </c>
      <c r="H2" s="11" t="s">
        <v>53</v>
      </c>
      <c r="I2" s="12" t="n">
        <v>271.32</v>
      </c>
      <c r="J2" s="14" t="s">
        <v>54</v>
      </c>
    </row>
    <row r="3" customFormat="false" ht="13.5" hidden="false" customHeight="false" outlineLevel="0" collapsed="false">
      <c r="A3" s="10"/>
      <c r="B3" s="10" t="s">
        <v>49</v>
      </c>
      <c r="C3" s="15" t="s">
        <v>50</v>
      </c>
      <c r="D3" s="10" t="s">
        <v>51</v>
      </c>
      <c r="E3" s="12" t="n">
        <v>135.66</v>
      </c>
      <c r="F3" s="15" t="s">
        <v>55</v>
      </c>
      <c r="G3" s="16" t="n">
        <v>1</v>
      </c>
      <c r="H3" s="10" t="s">
        <v>53</v>
      </c>
      <c r="I3" s="12" t="n">
        <v>135.66</v>
      </c>
      <c r="J3" s="10" t="s">
        <v>56</v>
      </c>
    </row>
    <row r="4" customFormat="false" ht="13.5" hidden="false" customHeight="false" outlineLevel="0" collapsed="false">
      <c r="A4" s="10"/>
      <c r="B4" s="10" t="s">
        <v>49</v>
      </c>
      <c r="C4" s="15" t="s">
        <v>57</v>
      </c>
      <c r="D4" s="10" t="s">
        <v>58</v>
      </c>
      <c r="E4" s="12" t="n">
        <v>905.59</v>
      </c>
      <c r="F4" s="15" t="s">
        <v>59</v>
      </c>
      <c r="G4" s="16" t="n">
        <v>1</v>
      </c>
      <c r="H4" s="10" t="s">
        <v>53</v>
      </c>
      <c r="I4" s="12" t="n">
        <v>503.37</v>
      </c>
      <c r="J4" s="10" t="s">
        <v>60</v>
      </c>
    </row>
    <row r="5" customFormat="false" ht="13.5" hidden="false" customHeight="false" outlineLevel="0" collapsed="false">
      <c r="A5" s="10"/>
      <c r="B5" s="17" t="s">
        <v>49</v>
      </c>
      <c r="C5" s="17" t="s">
        <v>61</v>
      </c>
      <c r="D5" s="17" t="s">
        <v>62</v>
      </c>
      <c r="E5" s="18" t="s">
        <v>48</v>
      </c>
      <c r="F5" s="17" t="s">
        <v>63</v>
      </c>
      <c r="G5" s="19" t="n">
        <v>1</v>
      </c>
      <c r="H5" s="10"/>
      <c r="I5" s="18"/>
      <c r="J5" s="17"/>
    </row>
    <row r="6" customFormat="false" ht="13.5" hidden="false" customHeight="false" outlineLevel="0" collapsed="false">
      <c r="A6" s="10"/>
      <c r="B6" s="10" t="s">
        <v>64</v>
      </c>
      <c r="C6" s="15" t="s">
        <v>65</v>
      </c>
      <c r="D6" s="10" t="s">
        <v>66</v>
      </c>
      <c r="E6" s="12" t="n">
        <v>935.15</v>
      </c>
      <c r="F6" s="15" t="s">
        <v>67</v>
      </c>
      <c r="G6" s="16" t="n">
        <v>1</v>
      </c>
      <c r="H6" s="10"/>
      <c r="I6" s="12" t="n">
        <v>1122.5</v>
      </c>
      <c r="J6" s="10" t="s">
        <v>68</v>
      </c>
    </row>
    <row r="7" customFormat="false" ht="13.5" hidden="false" customHeight="false" outlineLevel="0" collapsed="false">
      <c r="A7" s="10"/>
      <c r="B7" s="10" t="s">
        <v>69</v>
      </c>
      <c r="C7" s="15" t="s">
        <v>70</v>
      </c>
      <c r="D7" s="10" t="s">
        <v>66</v>
      </c>
      <c r="E7" s="12" t="n">
        <v>214.2</v>
      </c>
      <c r="F7" s="15" t="s">
        <v>71</v>
      </c>
      <c r="G7" s="16" t="n">
        <v>1</v>
      </c>
      <c r="H7" s="10"/>
      <c r="I7" s="12" t="n">
        <v>327.49</v>
      </c>
      <c r="J7" s="10" t="s">
        <v>72</v>
      </c>
    </row>
    <row r="8" customFormat="false" ht="13.5" hidden="false" customHeight="false" outlineLevel="0" collapsed="false">
      <c r="A8" s="10"/>
      <c r="B8" s="10" t="s">
        <v>73</v>
      </c>
      <c r="C8" s="20" t="s">
        <v>74</v>
      </c>
      <c r="D8" s="10" t="s">
        <v>66</v>
      </c>
      <c r="E8" s="12" t="n">
        <v>3972.09</v>
      </c>
      <c r="F8" s="15" t="s">
        <v>75</v>
      </c>
      <c r="G8" s="16" t="n">
        <v>1</v>
      </c>
      <c r="H8" s="10" t="s">
        <v>53</v>
      </c>
      <c r="I8" s="12" t="n">
        <v>3834.55</v>
      </c>
      <c r="J8" s="10" t="s">
        <v>76</v>
      </c>
    </row>
    <row r="9" customFormat="false" ht="13.5" hidden="false" customHeight="false" outlineLevel="0" collapsed="false">
      <c r="A9" s="10"/>
      <c r="B9" s="10" t="s">
        <v>73</v>
      </c>
      <c r="C9" s="20" t="s">
        <v>74</v>
      </c>
      <c r="D9" s="10" t="s">
        <v>66</v>
      </c>
      <c r="E9" s="12" t="n">
        <v>171.86</v>
      </c>
      <c r="F9" s="15" t="s">
        <v>77</v>
      </c>
      <c r="G9" s="16" t="n">
        <v>1</v>
      </c>
      <c r="H9" s="10" t="s">
        <v>53</v>
      </c>
      <c r="I9" s="12" t="n">
        <v>171.86</v>
      </c>
      <c r="J9" s="10" t="s">
        <v>78</v>
      </c>
    </row>
    <row r="10" customFormat="false" ht="13.5" hidden="false" customHeight="false" outlineLevel="0" collapsed="false">
      <c r="A10" s="10"/>
      <c r="B10" s="10" t="s">
        <v>73</v>
      </c>
      <c r="C10" s="20" t="s">
        <v>74</v>
      </c>
      <c r="D10" s="10" t="s">
        <v>66</v>
      </c>
      <c r="E10" s="18" t="s">
        <v>48</v>
      </c>
      <c r="F10" s="10"/>
      <c r="G10" s="16" t="n">
        <v>1</v>
      </c>
      <c r="H10" s="10"/>
      <c r="I10" s="18"/>
      <c r="J10" s="10" t="s">
        <v>79</v>
      </c>
    </row>
    <row r="11" s="6" customFormat="true" ht="13.5" hidden="false" customHeight="false" outlineLevel="0" collapsed="false">
      <c r="A11" s="10"/>
      <c r="B11" s="10"/>
      <c r="C11" s="20"/>
      <c r="D11" s="10"/>
      <c r="F11" s="10"/>
      <c r="G11" s="16"/>
      <c r="H11" s="10"/>
      <c r="I11" s="18"/>
      <c r="J11" s="10"/>
    </row>
    <row r="12" customFormat="false" ht="13.5" hidden="false" customHeight="false" outlineLevel="0" collapsed="false">
      <c r="A12" s="10"/>
      <c r="B12" s="14" t="s">
        <v>80</v>
      </c>
      <c r="C12" s="10" t="s">
        <v>81</v>
      </c>
      <c r="D12" s="10" t="s">
        <v>82</v>
      </c>
      <c r="E12" s="12" t="n">
        <v>5359.08</v>
      </c>
      <c r="F12" s="10" t="s">
        <v>83</v>
      </c>
      <c r="G12" s="21" t="n">
        <v>1</v>
      </c>
      <c r="H12" s="10"/>
      <c r="I12" s="12" t="n">
        <v>5389.93</v>
      </c>
      <c r="J12" s="10" t="s">
        <v>84</v>
      </c>
    </row>
    <row r="13" customFormat="false" ht="13.5" hidden="false" customHeight="false" outlineLevel="0" collapsed="false">
      <c r="A13" s="10"/>
      <c r="B13" s="14" t="s">
        <v>80</v>
      </c>
      <c r="C13" s="10" t="s">
        <v>85</v>
      </c>
      <c r="D13" s="10"/>
      <c r="E13" s="22" t="n">
        <v>2354</v>
      </c>
      <c r="F13" s="10" t="s">
        <v>86</v>
      </c>
      <c r="G13" s="10"/>
      <c r="H13" s="10"/>
      <c r="I13" s="22" t="n">
        <v>2393</v>
      </c>
      <c r="J13" s="10" t="s">
        <v>87</v>
      </c>
    </row>
    <row r="14" customFormat="false" ht="13.5" hidden="false" customHeight="false" outlineLevel="0" collapsed="false">
      <c r="A14" s="10"/>
      <c r="B14" s="14" t="s">
        <v>80</v>
      </c>
      <c r="C14" s="10"/>
      <c r="D14" s="10"/>
      <c r="E14" s="18"/>
      <c r="F14" s="15"/>
      <c r="G14" s="21" t="n">
        <v>1</v>
      </c>
      <c r="H14" s="10"/>
      <c r="I14" s="18"/>
      <c r="J14" s="10"/>
    </row>
    <row r="15" customFormat="false" ht="13.5" hidden="false" customHeight="false" outlineLevel="0" collapsed="false">
      <c r="A15" s="10"/>
      <c r="B15" s="14" t="s">
        <v>80</v>
      </c>
      <c r="C15" s="10" t="s">
        <v>85</v>
      </c>
      <c r="D15" s="10"/>
      <c r="E15" s="23" t="n">
        <v>2354</v>
      </c>
      <c r="F15" s="10"/>
      <c r="G15" s="10"/>
      <c r="H15" s="10"/>
      <c r="I15" s="23"/>
      <c r="J15" s="10"/>
    </row>
    <row r="16" customFormat="false" ht="13.5" hidden="false" customHeight="false" outlineLevel="0" collapsed="false">
      <c r="A16" s="10"/>
      <c r="B16" s="10" t="s">
        <v>80</v>
      </c>
      <c r="C16" s="10" t="s">
        <v>88</v>
      </c>
      <c r="D16" s="10"/>
      <c r="E16" s="12" t="n">
        <v>3954.72</v>
      </c>
      <c r="F16" s="10" t="s">
        <v>83</v>
      </c>
      <c r="G16" s="21" t="n">
        <v>1</v>
      </c>
      <c r="H16" s="10"/>
      <c r="I16" s="12" t="n">
        <v>4761.07</v>
      </c>
      <c r="J16" s="10" t="s">
        <v>89</v>
      </c>
    </row>
    <row r="17" customFormat="false" ht="13.5" hidden="false" customHeight="false" outlineLevel="0" collapsed="false">
      <c r="A17" s="10"/>
      <c r="B17" s="10" t="s">
        <v>80</v>
      </c>
      <c r="C17" s="10" t="s">
        <v>90</v>
      </c>
      <c r="D17" s="10"/>
      <c r="E17" s="23" t="n">
        <v>2354</v>
      </c>
      <c r="F17" s="10"/>
      <c r="G17" s="10"/>
      <c r="H17" s="10"/>
      <c r="I17" s="23"/>
      <c r="J17" s="10" t="s">
        <v>91</v>
      </c>
    </row>
    <row r="18" customFormat="false" ht="13.5" hidden="false" customHeight="false" outlineLevel="0" collapsed="false">
      <c r="A18" s="10"/>
      <c r="B18" s="14" t="s">
        <v>80</v>
      </c>
      <c r="C18" s="10" t="s">
        <v>92</v>
      </c>
      <c r="D18" s="10" t="s">
        <v>93</v>
      </c>
      <c r="E18" s="12" t="n">
        <v>872.8</v>
      </c>
      <c r="F18" s="10" t="s">
        <v>94</v>
      </c>
      <c r="G18" s="21" t="n">
        <v>1</v>
      </c>
      <c r="H18" s="10"/>
      <c r="I18" s="12" t="n">
        <v>0</v>
      </c>
      <c r="J18" s="10" t="s">
        <v>95</v>
      </c>
    </row>
    <row r="19" customFormat="false" ht="13.5" hidden="false" customHeight="false" outlineLevel="0" collapsed="false">
      <c r="A19" s="10"/>
      <c r="B19" s="14" t="s">
        <v>80</v>
      </c>
      <c r="C19" s="10" t="s">
        <v>90</v>
      </c>
      <c r="D19" s="10"/>
      <c r="E19" s="18" t="n">
        <v>1091</v>
      </c>
      <c r="F19" s="10"/>
      <c r="G19" s="10"/>
      <c r="H19" s="10"/>
      <c r="I19" s="18"/>
      <c r="J19" s="10" t="s">
        <v>96</v>
      </c>
    </row>
    <row r="20" customFormat="false" ht="13.5" hidden="false" customHeight="false" outlineLevel="0" collapsed="false">
      <c r="A20" s="10"/>
      <c r="B20" s="14" t="s">
        <v>80</v>
      </c>
      <c r="C20" s="10" t="s">
        <v>88</v>
      </c>
      <c r="D20" s="10"/>
      <c r="E20" s="18"/>
      <c r="F20" s="10"/>
      <c r="G20" s="21"/>
      <c r="H20" s="10"/>
      <c r="I20" s="18"/>
      <c r="J20" s="10"/>
    </row>
    <row r="21" customFormat="false" ht="13.5" hidden="false" customHeight="false" outlineLevel="0" collapsed="false">
      <c r="A21" s="10"/>
      <c r="B21" s="14" t="s">
        <v>80</v>
      </c>
      <c r="C21" s="10" t="s">
        <v>90</v>
      </c>
      <c r="D21" s="10"/>
      <c r="E21" s="23"/>
      <c r="F21" s="10"/>
      <c r="G21" s="10"/>
      <c r="H21" s="10"/>
      <c r="I21" s="23"/>
      <c r="J21" s="10"/>
    </row>
    <row r="22" customFormat="false" ht="13.5" hidden="false" customHeight="false" outlineLevel="0" collapsed="false">
      <c r="A22" s="10"/>
      <c r="B22" s="14" t="s">
        <v>80</v>
      </c>
      <c r="C22" s="10" t="s">
        <v>92</v>
      </c>
      <c r="D22" s="10"/>
      <c r="F22" s="10" t="s">
        <v>97</v>
      </c>
      <c r="G22" s="21" t="n">
        <v>1</v>
      </c>
      <c r="H22" s="10"/>
      <c r="I22" s="18" t="n">
        <v>0</v>
      </c>
      <c r="J22" s="10" t="s">
        <v>98</v>
      </c>
    </row>
    <row r="23" customFormat="false" ht="13.5" hidden="false" customHeight="false" outlineLevel="0" collapsed="false">
      <c r="A23" s="10"/>
      <c r="B23" s="14" t="s">
        <v>80</v>
      </c>
      <c r="C23" s="10" t="s">
        <v>90</v>
      </c>
      <c r="D23" s="10"/>
      <c r="F23" s="10"/>
      <c r="G23" s="10"/>
      <c r="H23" s="10"/>
      <c r="I23" s="23"/>
      <c r="J23" s="10" t="s">
        <v>96</v>
      </c>
    </row>
    <row r="24" customFormat="false" ht="13.5" hidden="false" customHeight="false" outlineLevel="0" collapsed="false">
      <c r="A24" s="10"/>
      <c r="B24" s="14" t="s">
        <v>99</v>
      </c>
      <c r="C24" s="10" t="s">
        <v>100</v>
      </c>
      <c r="D24" s="10"/>
      <c r="E24" s="18" t="n">
        <v>27099.85</v>
      </c>
      <c r="F24" s="10" t="s">
        <v>83</v>
      </c>
      <c r="G24" s="16" t="n">
        <v>1</v>
      </c>
      <c r="H24" s="10"/>
      <c r="I24" s="12" t="n">
        <v>25187.43</v>
      </c>
      <c r="J24" s="10" t="s">
        <v>101</v>
      </c>
    </row>
    <row r="25" customFormat="false" ht="13.5" hidden="false" customHeight="false" outlineLevel="0" collapsed="false">
      <c r="A25" s="10"/>
      <c r="B25" s="14" t="s">
        <v>99</v>
      </c>
      <c r="C25" s="10" t="s">
        <v>102</v>
      </c>
      <c r="D25" s="10"/>
      <c r="E25" s="23" t="n">
        <v>299.77</v>
      </c>
      <c r="F25" s="10" t="s">
        <v>102</v>
      </c>
      <c r="G25" s="10"/>
      <c r="H25" s="10"/>
      <c r="I25" s="24" t="n">
        <v>267.92</v>
      </c>
      <c r="J25" s="10" t="s">
        <v>103</v>
      </c>
    </row>
    <row r="26" customFormat="false" ht="13.5" hidden="false" customHeight="false" outlineLevel="0" collapsed="false">
      <c r="A26" s="10"/>
      <c r="B26" s="14" t="s">
        <v>99</v>
      </c>
      <c r="C26" s="10" t="s">
        <v>104</v>
      </c>
      <c r="D26" s="10"/>
      <c r="E26" s="18"/>
      <c r="F26" s="10"/>
      <c r="G26" s="16" t="n">
        <v>1</v>
      </c>
      <c r="H26" s="10"/>
      <c r="I26" s="18"/>
      <c r="J26" s="10"/>
    </row>
    <row r="27" customFormat="false" ht="13.5" hidden="false" customHeight="false" outlineLevel="0" collapsed="false">
      <c r="A27" s="10"/>
      <c r="B27" s="14" t="s">
        <v>99</v>
      </c>
      <c r="C27" s="10" t="s">
        <v>102</v>
      </c>
      <c r="D27" s="10"/>
      <c r="E27" s="23"/>
      <c r="F27" s="10"/>
      <c r="G27" s="10"/>
      <c r="H27" s="10"/>
      <c r="I27" s="23"/>
      <c r="J27" s="10"/>
    </row>
    <row r="28" customFormat="false" ht="13.5" hidden="false" customHeight="false" outlineLevel="0" collapsed="false">
      <c r="A28" s="10"/>
      <c r="B28" s="10" t="s">
        <v>105</v>
      </c>
      <c r="C28" s="15" t="s">
        <v>106</v>
      </c>
      <c r="D28" s="10"/>
      <c r="E28" s="25" t="n">
        <v>16318.67</v>
      </c>
      <c r="F28" s="10" t="s">
        <v>107</v>
      </c>
      <c r="G28" s="16" t="n">
        <v>1</v>
      </c>
      <c r="H28" s="10" t="s">
        <v>53</v>
      </c>
      <c r="I28" s="25" t="n">
        <v>16183.65</v>
      </c>
      <c r="J28" s="10" t="s">
        <v>108</v>
      </c>
    </row>
    <row r="29" customFormat="false" ht="13.5" hidden="false" customHeight="false" outlineLevel="0" collapsed="false">
      <c r="A29" s="10"/>
      <c r="B29" s="10" t="s">
        <v>105</v>
      </c>
      <c r="C29" s="15" t="s">
        <v>109</v>
      </c>
      <c r="D29" s="10"/>
      <c r="E29" s="26" t="n">
        <v>63051</v>
      </c>
      <c r="F29" s="15" t="s">
        <v>109</v>
      </c>
      <c r="G29" s="10"/>
      <c r="H29" s="10"/>
      <c r="I29" s="26" t="n">
        <v>61325</v>
      </c>
      <c r="J29" s="10" t="s">
        <v>110</v>
      </c>
    </row>
    <row r="30" customFormat="false" ht="13.5" hidden="false" customHeight="false" outlineLevel="0" collapsed="false">
      <c r="A30" s="10"/>
      <c r="B30" s="10" t="s">
        <v>105</v>
      </c>
      <c r="C30" s="10" t="s">
        <v>111</v>
      </c>
      <c r="D30" s="10"/>
      <c r="E30" s="26" t="n">
        <v>0</v>
      </c>
      <c r="F30" s="10"/>
      <c r="G30" s="16" t="n">
        <v>1</v>
      </c>
      <c r="H30" s="10"/>
      <c r="I30" s="26"/>
      <c r="J30" s="10" t="s">
        <v>112</v>
      </c>
    </row>
    <row r="31" customFormat="false" ht="13.5" hidden="false" customHeight="false" outlineLevel="0" collapsed="false">
      <c r="A31" s="10"/>
      <c r="B31" s="10" t="s">
        <v>105</v>
      </c>
      <c r="C31" s="10" t="s">
        <v>109</v>
      </c>
      <c r="D31" s="10"/>
      <c r="E31" s="26" t="n">
        <v>0</v>
      </c>
      <c r="F31" s="10"/>
      <c r="G31" s="10"/>
      <c r="H31" s="10"/>
      <c r="I31" s="26"/>
      <c r="J31" s="10"/>
    </row>
    <row r="32" customFormat="false" ht="13.5" hidden="false" customHeight="false" outlineLevel="0" collapsed="false">
      <c r="A32" s="10"/>
      <c r="B32" s="10" t="s">
        <v>113</v>
      </c>
      <c r="C32" s="15" t="s">
        <v>114</v>
      </c>
      <c r="D32" s="10" t="s">
        <v>66</v>
      </c>
      <c r="E32" s="27" t="n">
        <v>4532.6</v>
      </c>
      <c r="F32" s="10"/>
      <c r="G32" s="16" t="n">
        <v>1</v>
      </c>
      <c r="H32" s="10"/>
      <c r="I32" s="27" t="n">
        <v>1149.83</v>
      </c>
      <c r="J32" s="10" t="s">
        <v>115</v>
      </c>
    </row>
    <row r="33" customFormat="false" ht="13.5" hidden="false" customHeight="false" outlineLevel="0" collapsed="false">
      <c r="A33" s="10"/>
      <c r="B33" s="10" t="s">
        <v>116</v>
      </c>
      <c r="C33" s="15" t="s">
        <v>117</v>
      </c>
      <c r="D33" s="10" t="s">
        <v>66</v>
      </c>
      <c r="E33" s="27" t="n">
        <v>3611.13</v>
      </c>
      <c r="F33" s="15" t="s">
        <v>118</v>
      </c>
      <c r="G33" s="16" t="n">
        <v>1</v>
      </c>
      <c r="H33" s="10" t="s">
        <v>53</v>
      </c>
      <c r="I33" s="27" t="n">
        <v>3462.04</v>
      </c>
      <c r="J33" s="10" t="s">
        <v>119</v>
      </c>
    </row>
    <row r="34" customFormat="false" ht="13.5" hidden="false" customHeight="false" outlineLevel="0" collapsed="false">
      <c r="A34" s="10"/>
      <c r="B34" s="14" t="s">
        <v>120</v>
      </c>
      <c r="C34" s="15" t="s">
        <v>114</v>
      </c>
      <c r="D34" s="10" t="s">
        <v>66</v>
      </c>
      <c r="E34" s="12" t="n">
        <v>3537.8</v>
      </c>
      <c r="F34" s="15" t="s">
        <v>121</v>
      </c>
      <c r="G34" s="16" t="n">
        <v>1</v>
      </c>
      <c r="H34" s="10"/>
      <c r="I34" s="12" t="n">
        <v>3214.8</v>
      </c>
      <c r="J34" s="10" t="s">
        <v>122</v>
      </c>
    </row>
    <row r="35" customFormat="false" ht="13.5" hidden="false" customHeight="false" outlineLevel="0" collapsed="false">
      <c r="A35" s="10"/>
      <c r="B35" s="10" t="s">
        <v>123</v>
      </c>
      <c r="C35" s="15" t="s">
        <v>124</v>
      </c>
      <c r="D35" s="15" t="s">
        <v>125</v>
      </c>
      <c r="F35" s="15" t="s">
        <v>126</v>
      </c>
      <c r="G35" s="16" t="n">
        <v>1</v>
      </c>
      <c r="H35" s="10"/>
      <c r="I35" s="12" t="n">
        <v>831.11</v>
      </c>
      <c r="J35" s="10" t="s">
        <v>127</v>
      </c>
    </row>
    <row r="36" customFormat="false" ht="13.5" hidden="false" customHeight="false" outlineLevel="0" collapsed="false">
      <c r="A36" s="10"/>
      <c r="B36" s="10" t="s">
        <v>123</v>
      </c>
      <c r="C36" s="10" t="s">
        <v>128</v>
      </c>
      <c r="D36" s="10" t="s">
        <v>125</v>
      </c>
      <c r="E36" s="18" t="n">
        <v>485.16</v>
      </c>
      <c r="F36" s="10" t="s">
        <v>129</v>
      </c>
      <c r="G36" s="16" t="n">
        <v>1</v>
      </c>
      <c r="H36" s="10"/>
      <c r="I36" s="26" t="n">
        <v>0</v>
      </c>
      <c r="J36" s="28" t="s">
        <v>130</v>
      </c>
    </row>
    <row r="37" customFormat="false" ht="13.5" hidden="false" customHeight="false" outlineLevel="0" collapsed="false">
      <c r="A37" s="10"/>
      <c r="B37" s="10" t="s">
        <v>80</v>
      </c>
      <c r="C37" s="15" t="s">
        <v>131</v>
      </c>
      <c r="D37" s="10"/>
      <c r="E37" s="25" t="n">
        <v>0</v>
      </c>
      <c r="F37" s="10"/>
      <c r="G37" s="10"/>
      <c r="H37" s="10"/>
      <c r="I37" s="25" t="n">
        <v>910.02</v>
      </c>
      <c r="J37" s="10"/>
    </row>
    <row r="38" customFormat="false" ht="13.5" hidden="false" customHeight="false" outlineLevel="0" collapsed="false">
      <c r="A38" s="10"/>
      <c r="B38" s="10" t="s">
        <v>80</v>
      </c>
      <c r="C38" s="10" t="s">
        <v>132</v>
      </c>
      <c r="D38" s="10"/>
      <c r="E38" s="26"/>
      <c r="F38" s="10"/>
      <c r="G38" s="10"/>
      <c r="H38" s="10"/>
      <c r="I38" s="26"/>
      <c r="J38" s="10" t="s">
        <v>133</v>
      </c>
    </row>
    <row r="40" customFormat="false" ht="13.5" hidden="false" customHeight="false" outlineLevel="0" collapsed="false">
      <c r="E40" s="29" t="n">
        <f aca="false">E2+E3+E4+E6+E7+E8+E9+E12+E16+E18+E24+E28+E32+E33+E34+E36</f>
        <v>72377.68</v>
      </c>
      <c r="F40" s="30" t="n">
        <f aca="false">SUM(E2:E38)-E13-E15-E17-E19-E25-E29</f>
        <v>72377.68</v>
      </c>
    </row>
    <row r="42" customFormat="false" ht="13.5" hidden="false" customHeight="false" outlineLevel="0" collapsed="false">
      <c r="I42" s="29" t="n">
        <f aca="false">SUM(I2:I38)</f>
        <v>131442.55</v>
      </c>
    </row>
  </sheetData>
  <printOptions headings="false" gridLines="false" gridLinesSet="true" horizontalCentered="false" verticalCentered="false"/>
  <pageMargins left="0.25" right="0.25" top="0.75" bottom="0.75" header="0.511811023622047" footer="0.511811023622047"/>
  <pageSetup paperSize="9" scale="100" fitToWidth="1" fitToHeight="1" pageOrder="overThenDown"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R56"/>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G6" activeCellId="0" sqref="G4:G37"/>
    </sheetView>
  </sheetViews>
  <sheetFormatPr defaultColWidth="10.56640625" defaultRowHeight="13.5" zeroHeight="false" outlineLevelRow="0" outlineLevelCol="0"/>
  <cols>
    <col collapsed="false" customWidth="true" hidden="false" outlineLevel="0" max="1" min="1" style="0" width="27.58"/>
    <col collapsed="false" customWidth="true" hidden="false" outlineLevel="0" max="2" min="2" style="0" width="11.25"/>
    <col collapsed="false" customWidth="true" hidden="true" outlineLevel="0" max="3" min="3" style="0" width="12.6"/>
    <col collapsed="false" customWidth="true" hidden="false" outlineLevel="0" max="4" min="4" style="0" width="34.25"/>
    <col collapsed="false" customWidth="true" hidden="false" outlineLevel="0" max="5" min="5" style="0" width="17.08"/>
    <col collapsed="false" customWidth="true" hidden="false" outlineLevel="0" max="6" min="6" style="0" width="11.75"/>
    <col collapsed="false" customWidth="true" hidden="false" outlineLevel="0" max="7" min="7" style="0" width="40.5"/>
    <col collapsed="false" customWidth="true" hidden="false" outlineLevel="0" max="8" min="8" style="0" width="22.58"/>
  </cols>
  <sheetData>
    <row r="1" customFormat="false" ht="13.5" hidden="false" customHeight="false" outlineLevel="0" collapsed="false">
      <c r="A1" s="1" t="s">
        <v>134</v>
      </c>
      <c r="B1" s="31"/>
      <c r="D1" s="1" t="s">
        <v>135</v>
      </c>
      <c r="G1" s="1" t="s">
        <v>136</v>
      </c>
    </row>
    <row r="2" customFormat="false" ht="13.5" hidden="false" customHeight="false" outlineLevel="0" collapsed="false">
      <c r="A2" s="0" t="s">
        <v>113</v>
      </c>
      <c r="B2" s="32" t="n">
        <f aca="false">Erfassung!E32</f>
        <v>4532.6</v>
      </c>
      <c r="D2" s="0" t="s">
        <v>137</v>
      </c>
      <c r="E2" s="33" t="n">
        <v>2021</v>
      </c>
      <c r="G2" s="0" t="s">
        <v>138</v>
      </c>
      <c r="H2" s="34" t="str">
        <f aca="false">CONCATENATE("01.01.",E2," bis 31.12.",E2)</f>
        <v>01.01.2021 bis 31.12.2021</v>
      </c>
      <c r="R2" s="30"/>
    </row>
    <row r="3" customFormat="false" ht="13.5" hidden="false" customHeight="false" outlineLevel="0" collapsed="false">
      <c r="A3" s="0" t="s">
        <v>139</v>
      </c>
      <c r="B3" s="32" t="n">
        <f aca="false">Erfassung!E12</f>
        <v>5359.08</v>
      </c>
      <c r="C3" s="30"/>
      <c r="D3" s="0" t="s">
        <v>140</v>
      </c>
      <c r="E3" s="6" t="n">
        <f aca="false">Wohnungen!H39</f>
        <v>2988.38</v>
      </c>
      <c r="G3" s="0" t="s">
        <v>141</v>
      </c>
      <c r="H3" s="34" t="n">
        <f aca="false">_xlfn.DAYS(RIGHT(H2,10),LEFT(H2,10))+1</f>
        <v>365</v>
      </c>
      <c r="R3" s="30"/>
    </row>
    <row r="4" customFormat="false" ht="13.5" hidden="false" customHeight="false" outlineLevel="0" collapsed="false">
      <c r="A4" s="0" t="s">
        <v>88</v>
      </c>
      <c r="B4" s="32" t="n">
        <f aca="false">Erfassung!E16</f>
        <v>3954.72</v>
      </c>
      <c r="D4" s="0" t="s">
        <v>142</v>
      </c>
      <c r="E4" s="33" t="n">
        <v>29</v>
      </c>
      <c r="G4" s="0" t="s">
        <v>143</v>
      </c>
      <c r="H4" s="35" t="n">
        <f aca="false">Erfassung!E13</f>
        <v>2354</v>
      </c>
      <c r="I4" s="36"/>
      <c r="R4" s="30"/>
    </row>
    <row r="5" customFormat="false" ht="13.5" hidden="false" customHeight="false" outlineLevel="0" collapsed="false">
      <c r="A5" s="0" t="s">
        <v>92</v>
      </c>
      <c r="B5" s="32" t="n">
        <f aca="false">Erfassung!E18</f>
        <v>872.8</v>
      </c>
      <c r="E5" s="6"/>
      <c r="G5" s="0" t="s">
        <v>144</v>
      </c>
      <c r="H5" s="36" t="n">
        <f aca="false">Wohnungen!M39+Wohnungen!N39</f>
        <v>2020.605</v>
      </c>
      <c r="R5" s="30"/>
    </row>
    <row r="6" customFormat="false" ht="13.5" hidden="false" customHeight="false" outlineLevel="0" collapsed="false">
      <c r="A6" s="0" t="s">
        <v>145</v>
      </c>
      <c r="B6" s="32" t="n">
        <f aca="false">H11*H7+H19</f>
        <v>7080.76251212831</v>
      </c>
      <c r="D6" s="0" t="s">
        <v>146</v>
      </c>
      <c r="E6" s="37" t="n">
        <f aca="false">Erfassung!E29</f>
        <v>63051</v>
      </c>
      <c r="G6" s="0" t="s">
        <v>147</v>
      </c>
      <c r="H6" s="35" t="n">
        <f aca="false">H4-H5</f>
        <v>333.395</v>
      </c>
      <c r="R6" s="30"/>
    </row>
    <row r="7" customFormat="false" ht="13.5" hidden="false" customHeight="false" outlineLevel="0" collapsed="false">
      <c r="A7" s="0" t="s">
        <v>148</v>
      </c>
      <c r="B7" s="32" t="n">
        <f aca="false">H15*E8</f>
        <v>21443.514560463</v>
      </c>
      <c r="D7" s="0" t="s">
        <v>149</v>
      </c>
      <c r="E7" s="30" t="n">
        <f aca="false">Erfassung!E28</f>
        <v>16318.67</v>
      </c>
      <c r="G7" s="0" t="s">
        <v>150</v>
      </c>
      <c r="H7" s="38" t="n">
        <f aca="false">B3/H4</f>
        <v>2.27658453695837</v>
      </c>
      <c r="R7" s="30"/>
    </row>
    <row r="8" customFormat="false" ht="13.5" hidden="false" customHeight="false" outlineLevel="0" collapsed="false">
      <c r="A8" s="0" t="s">
        <v>151</v>
      </c>
      <c r="B8" s="32" t="n">
        <f aca="false">(E6-'Ablesung Strom '!H41)*E7/E6</f>
        <v>3559.47899747189</v>
      </c>
      <c r="D8" s="0" t="s">
        <v>152</v>
      </c>
      <c r="E8" s="30" t="n">
        <f aca="false">(Erfassung!E24+Erfassung!E26)/(Erfassung!E25+Erfassung!E27)</f>
        <v>90.4021416419255</v>
      </c>
      <c r="G8" s="0" t="s">
        <v>153</v>
      </c>
      <c r="H8" s="38" t="n">
        <f aca="false">B4/Erfassung!E17</f>
        <v>1.68</v>
      </c>
      <c r="I8" s="39"/>
      <c r="R8" s="30"/>
    </row>
    <row r="9" customFormat="false" ht="13.5" hidden="false" customHeight="false" outlineLevel="0" collapsed="false">
      <c r="A9" s="0" t="s">
        <v>154</v>
      </c>
      <c r="B9" s="32" t="n">
        <f aca="false">('Ablesung Strom '!H41)*E7/E6</f>
        <v>12759.1910025281</v>
      </c>
      <c r="C9" s="30"/>
      <c r="D9" s="0" t="s">
        <v>151</v>
      </c>
      <c r="E9" s="40" t="n">
        <f aca="false">E6-'Ablesung Strom '!G41</f>
        <v>-122546.36</v>
      </c>
      <c r="F9" s="0" t="n">
        <f aca="false">E9*(H21+H22)+(H23*12)</f>
        <v>-39451.928916</v>
      </c>
      <c r="G9" s="0" t="s">
        <v>155</v>
      </c>
      <c r="H9" s="38" t="n">
        <f aca="false">IFERROR(B5/(Erfassung!E19+Erfassung!E25),0)</f>
        <v>0.627566024576314</v>
      </c>
      <c r="R9" s="30"/>
    </row>
    <row r="10" customFormat="false" ht="13.5" hidden="false" customHeight="false" outlineLevel="0" collapsed="false">
      <c r="A10" s="0" t="s">
        <v>156</v>
      </c>
      <c r="B10" s="32" t="n">
        <f aca="false">SUM(Erfassung!E2:E5)</f>
        <v>1312.57</v>
      </c>
      <c r="E10" s="6"/>
      <c r="G10" s="0" t="s">
        <v>157</v>
      </c>
      <c r="H10" s="38" t="n">
        <f aca="false">SUM(H7:H9)</f>
        <v>4.58415056153468</v>
      </c>
      <c r="R10" s="30"/>
    </row>
    <row r="11" customFormat="false" ht="13.5" hidden="false" customHeight="false" outlineLevel="0" collapsed="false">
      <c r="A11" s="0" t="s">
        <v>116</v>
      </c>
      <c r="B11" s="32" t="n">
        <f aca="false">Erfassung!E33</f>
        <v>3611.13</v>
      </c>
      <c r="E11" s="30" t="n">
        <v>13752.88</v>
      </c>
      <c r="G11" s="0" t="s">
        <v>158</v>
      </c>
      <c r="H11" s="41" t="n">
        <f aca="false">GETPIVOTDATA("Summe von Verbrauch Warm",'Pivot-Tabelle_Ablesung ista &amp; W'!$A$7)</f>
        <v>625.686</v>
      </c>
      <c r="R11" s="30"/>
    </row>
    <row r="12" customFormat="false" ht="13.5" hidden="false" customHeight="false" outlineLevel="0" collapsed="false">
      <c r="A12" s="0" t="s">
        <v>159</v>
      </c>
      <c r="B12" s="32" t="n">
        <f aca="false">SUM(Erfassung!E8:E10)</f>
        <v>4143.95</v>
      </c>
      <c r="E12" s="42" t="n">
        <f aca="false">E9-E11</f>
        <v>-136299.24</v>
      </c>
      <c r="G12" s="0" t="s">
        <v>160</v>
      </c>
      <c r="H12" s="43" t="n">
        <v>60</v>
      </c>
      <c r="R12" s="30"/>
    </row>
    <row r="13" customFormat="false" ht="13.5" hidden="false" customHeight="false" outlineLevel="0" collapsed="false">
      <c r="A13" s="0" t="s">
        <v>161</v>
      </c>
      <c r="B13" s="32" t="n">
        <f aca="false">Erfassung!E34</f>
        <v>3537.8</v>
      </c>
      <c r="E13" s="30" t="n">
        <f aca="false">E12*0.26</f>
        <v>-35437.8024</v>
      </c>
      <c r="F13" s="6"/>
      <c r="G13" s="0" t="s">
        <v>162</v>
      </c>
      <c r="H13" s="34" t="n">
        <f aca="false">2*H11*(H12-10)/1000</f>
        <v>62.5686</v>
      </c>
      <c r="R13" s="30"/>
    </row>
    <row r="14" customFormat="false" ht="13.5" hidden="false" customHeight="false" outlineLevel="0" collapsed="false">
      <c r="A14" s="0" t="s">
        <v>163</v>
      </c>
      <c r="B14" s="32" t="n">
        <f aca="false">Erfassung!E36</f>
        <v>485.16</v>
      </c>
      <c r="E14" s="42"/>
      <c r="F14" s="6"/>
      <c r="G14" s="0" t="s">
        <v>164</v>
      </c>
      <c r="H14" s="34" t="n">
        <f aca="false">Erfassung!E25+Erfassung!E27</f>
        <v>299.77</v>
      </c>
      <c r="R14" s="30"/>
    </row>
    <row r="15" customFormat="false" ht="13.5" hidden="false" customHeight="false" outlineLevel="0" collapsed="false">
      <c r="A15" s="6" t="s">
        <v>132</v>
      </c>
      <c r="B15" s="32" t="n">
        <f aca="false">Erfassung!E38</f>
        <v>0</v>
      </c>
      <c r="E15" s="30"/>
      <c r="F15" s="6"/>
      <c r="G15" s="0" t="s">
        <v>165</v>
      </c>
      <c r="H15" s="44" t="n">
        <f aca="false">H14-H13</f>
        <v>237.2014</v>
      </c>
      <c r="R15" s="30"/>
    </row>
    <row r="16" customFormat="false" ht="13.5" hidden="false" customHeight="false" outlineLevel="0" collapsed="false">
      <c r="A16" s="0" t="s">
        <v>166</v>
      </c>
      <c r="B16" s="30" t="n">
        <f aca="false">SUM(Erfassung!E6:E7)+Erfassung!E37</f>
        <v>1149.35</v>
      </c>
      <c r="D16" s="45"/>
      <c r="E16" s="42"/>
      <c r="F16" s="6"/>
      <c r="G16" s="0" t="s">
        <v>167</v>
      </c>
      <c r="H16" s="46" t="n">
        <f aca="false">4296.72+B20</f>
        <v>6992.85473521129</v>
      </c>
      <c r="R16" s="30"/>
    </row>
    <row r="17" customFormat="false" ht="13.5" hidden="false" customHeight="false" outlineLevel="0" collapsed="false">
      <c r="B17" s="6"/>
      <c r="E17" s="30"/>
      <c r="G17" s="0" t="s">
        <v>168</v>
      </c>
      <c r="H17" s="30" t="n">
        <v>0.275</v>
      </c>
      <c r="R17" s="30"/>
    </row>
    <row r="18" customFormat="false" ht="13.5" hidden="false" customHeight="false" outlineLevel="0" collapsed="false">
      <c r="B18" s="42" t="n">
        <v>1149.35</v>
      </c>
      <c r="E18" s="42"/>
      <c r="G18" s="0" t="s">
        <v>169</v>
      </c>
      <c r="H18" s="30" t="n">
        <f aca="false">Erfassung!E24+Erfassung!E26</f>
        <v>27099.85</v>
      </c>
      <c r="L18" s="6"/>
      <c r="R18" s="30"/>
    </row>
    <row r="19" customFormat="false" ht="13.5" hidden="false" customHeight="false" outlineLevel="0" collapsed="false">
      <c r="B19" s="6"/>
      <c r="E19" s="30"/>
      <c r="G19" s="0" t="s">
        <v>170</v>
      </c>
      <c r="H19" s="30" t="n">
        <f aca="false">H13*E8</f>
        <v>5656.33543953698</v>
      </c>
      <c r="I19" s="30"/>
      <c r="J19" s="30" t="n">
        <f aca="false">H18-H19</f>
        <v>21443.514560463</v>
      </c>
      <c r="L19" s="6"/>
      <c r="R19" s="30"/>
    </row>
    <row r="20" customFormat="false" ht="13.5" hidden="false" customHeight="false" outlineLevel="0" collapsed="false">
      <c r="B20" s="6" t="n">
        <v>2696.13473521129</v>
      </c>
      <c r="E20" s="42"/>
      <c r="G20" s="0" t="s">
        <v>171</v>
      </c>
      <c r="H20" s="30" t="n">
        <f aca="false">B6/H11</f>
        <v>11.3167987011509</v>
      </c>
      <c r="R20" s="30"/>
    </row>
    <row r="21" customFormat="false" ht="13.5" hidden="false" customHeight="false" outlineLevel="0" collapsed="false">
      <c r="A21" s="30"/>
      <c r="B21" s="6"/>
      <c r="E21" s="30"/>
      <c r="G21" s="47" t="s">
        <v>172</v>
      </c>
      <c r="H21" s="48" t="n">
        <v>0.3026</v>
      </c>
      <c r="R21" s="30"/>
    </row>
    <row r="22" customFormat="false" ht="13.5" hidden="false" customHeight="false" outlineLevel="0" collapsed="false">
      <c r="B22" s="49"/>
      <c r="E22" s="42"/>
      <c r="G22" s="48" t="s">
        <v>173</v>
      </c>
      <c r="H22" s="48" t="n">
        <v>0.0205</v>
      </c>
      <c r="R22" s="30"/>
    </row>
    <row r="23" customFormat="false" ht="13.5" hidden="false" customHeight="false" outlineLevel="0" collapsed="false">
      <c r="B23" s="6"/>
      <c r="E23" s="6"/>
      <c r="G23" s="48" t="s">
        <v>174</v>
      </c>
      <c r="H23" s="48" t="n">
        <v>11.9</v>
      </c>
      <c r="R23" s="30"/>
    </row>
    <row r="24" customFormat="false" ht="13.5" hidden="false" customHeight="false" outlineLevel="0" collapsed="false">
      <c r="E24" s="30"/>
      <c r="G24" s="6"/>
      <c r="H24" s="6"/>
      <c r="I24" s="49"/>
      <c r="R24" s="30"/>
    </row>
    <row r="25" customFormat="false" ht="13.5" hidden="false" customHeight="false" outlineLevel="0" collapsed="false">
      <c r="E25" s="42"/>
      <c r="G25" s="0" t="s">
        <v>175</v>
      </c>
      <c r="H25" s="0" t="n">
        <f aca="false">GETPIVOTDATA("Summe von Verbrauch Ista",'Pivot-Tabelle_Ablesung ista &amp; W'!$A$7,"ID",)</f>
        <v>0</v>
      </c>
      <c r="I25" s="49"/>
      <c r="R25" s="30"/>
    </row>
    <row r="26" customFormat="false" ht="13.5" hidden="false" customHeight="false" outlineLevel="0" collapsed="false">
      <c r="E26" s="30"/>
      <c r="G26" s="0" t="s">
        <v>176</v>
      </c>
      <c r="H26" s="0" t="n">
        <f aca="false">H25*0.11</f>
        <v>0</v>
      </c>
      <c r="I26" s="49"/>
      <c r="R26" s="30"/>
    </row>
    <row r="27" customFormat="false" ht="13.5" hidden="false" customHeight="false" outlineLevel="0" collapsed="false">
      <c r="E27" s="42"/>
      <c r="I27" s="49"/>
      <c r="R27" s="30"/>
    </row>
    <row r="28" customFormat="false" ht="13.5" hidden="false" customHeight="false" outlineLevel="0" collapsed="false">
      <c r="E28" s="6"/>
      <c r="G28" s="0" t="s">
        <v>177</v>
      </c>
      <c r="H28" s="0" t="n">
        <v>5</v>
      </c>
      <c r="I28" s="49"/>
      <c r="R28" s="30"/>
    </row>
    <row r="29" customFormat="false" ht="13.5" hidden="false" customHeight="false" outlineLevel="0" collapsed="false">
      <c r="E29" s="6"/>
      <c r="I29" s="49"/>
      <c r="R29" s="30"/>
    </row>
    <row r="30" customFormat="false" ht="13.5" hidden="false" customHeight="false" outlineLevel="0" collapsed="false">
      <c r="E30" s="6"/>
      <c r="I30" s="49"/>
      <c r="R30" s="30"/>
    </row>
    <row r="31" customFormat="false" ht="13.5" hidden="false" customHeight="false" outlineLevel="0" collapsed="false">
      <c r="E31" s="6"/>
      <c r="I31" s="49"/>
      <c r="R31" s="30"/>
    </row>
    <row r="32" customFormat="false" ht="13.5" hidden="false" customHeight="false" outlineLevel="0" collapsed="false">
      <c r="E32" s="6"/>
      <c r="H32" s="6"/>
      <c r="I32" s="49"/>
      <c r="R32" s="30"/>
    </row>
    <row r="33" customFormat="false" ht="13.5" hidden="false" customHeight="false" outlineLevel="0" collapsed="false">
      <c r="E33" s="6"/>
      <c r="G33" s="1" t="s">
        <v>178</v>
      </c>
      <c r="I33" s="49"/>
      <c r="R33" s="30"/>
    </row>
    <row r="34" customFormat="false" ht="13.5" hidden="false" customHeight="false" outlineLevel="0" collapsed="false">
      <c r="E34" s="6"/>
      <c r="G34" s="0" t="s">
        <v>179</v>
      </c>
      <c r="H34" s="42" t="n">
        <f aca="false">Erfassung!E13+Erfassung!E15-H5-H6</f>
        <v>2354</v>
      </c>
      <c r="I34" s="49"/>
      <c r="O34" s="30"/>
      <c r="R34" s="30"/>
    </row>
    <row r="35" customFormat="false" ht="13.5" hidden="false" customHeight="false" outlineLevel="0" collapsed="false">
      <c r="E35" s="6"/>
      <c r="H35" s="30"/>
      <c r="I35" s="49"/>
      <c r="O35" s="30"/>
      <c r="R35" s="30"/>
    </row>
    <row r="36" customFormat="false" ht="13.5" hidden="false" customHeight="false" outlineLevel="0" collapsed="false">
      <c r="H36" s="50"/>
      <c r="I36" s="49"/>
    </row>
    <row r="37" customFormat="false" ht="13.5" hidden="false" customHeight="false" outlineLevel="0" collapsed="false">
      <c r="G37" s="1"/>
      <c r="H37" s="6"/>
      <c r="I37" s="49"/>
    </row>
    <row r="38" customFormat="false" ht="13.5" hidden="false" customHeight="false" outlineLevel="0" collapsed="false">
      <c r="H38" s="5"/>
      <c r="I38" s="49"/>
    </row>
    <row r="39" customFormat="false" ht="13.5" hidden="false" customHeight="false" outlineLevel="0" collapsed="false">
      <c r="H39" s="6"/>
      <c r="I39" s="34"/>
    </row>
    <row r="40" customFormat="false" ht="13.5" hidden="false" customHeight="false" outlineLevel="0" collapsed="false">
      <c r="I40" s="38"/>
    </row>
    <row r="41" customFormat="false" ht="13.5" hidden="false" customHeight="false" outlineLevel="0" collapsed="false">
      <c r="I41" s="34"/>
    </row>
    <row r="42" customFormat="false" ht="13.5" hidden="false" customHeight="false" outlineLevel="0" collapsed="false">
      <c r="H42" s="6"/>
      <c r="I42" s="34"/>
    </row>
    <row r="43" customFormat="false" ht="13.5" hidden="false" customHeight="false" outlineLevel="0" collapsed="false">
      <c r="H43" s="6"/>
      <c r="I43" s="49"/>
    </row>
    <row r="44" customFormat="false" ht="13.5" hidden="false" customHeight="false" outlineLevel="0" collapsed="false">
      <c r="B44" s="1"/>
      <c r="C44" s="1"/>
      <c r="D44" s="1"/>
      <c r="E44" s="1"/>
      <c r="H44" s="6"/>
      <c r="I44" s="49"/>
    </row>
    <row r="45" customFormat="false" ht="13.5" hidden="false" customHeight="false" outlineLevel="0" collapsed="false">
      <c r="D45" s="30"/>
      <c r="H45" s="6"/>
      <c r="I45" s="49"/>
    </row>
    <row r="46" customFormat="false" ht="13.5" hidden="false" customHeight="false" outlineLevel="0" collapsed="false">
      <c r="D46" s="30"/>
      <c r="H46" s="6"/>
      <c r="I46" s="38"/>
    </row>
    <row r="47" customFormat="false" ht="13.5" hidden="false" customHeight="false" outlineLevel="0" collapsed="false">
      <c r="D47" s="30"/>
      <c r="H47" s="6"/>
      <c r="I47" s="30"/>
    </row>
    <row r="48" customFormat="false" ht="13.5" hidden="false" customHeight="false" outlineLevel="0" collapsed="false">
      <c r="D48" s="30"/>
      <c r="H48" s="6"/>
      <c r="I48" s="30"/>
    </row>
    <row r="49" customFormat="false" ht="13.5" hidden="false" customHeight="false" outlineLevel="0" collapsed="false">
      <c r="D49" s="30"/>
      <c r="H49" s="6"/>
      <c r="I49" s="30"/>
    </row>
    <row r="50" customFormat="false" ht="13.5" hidden="false" customHeight="false" outlineLevel="0" collapsed="false">
      <c r="D50" s="30"/>
      <c r="H50" s="6"/>
    </row>
    <row r="51" customFormat="false" ht="13.5" hidden="false" customHeight="false" outlineLevel="0" collapsed="false">
      <c r="B51" s="31"/>
      <c r="D51" s="30"/>
      <c r="H51" s="6"/>
    </row>
    <row r="52" customFormat="false" ht="13.5" hidden="false" customHeight="false" outlineLevel="0" collapsed="false">
      <c r="B52" s="31"/>
      <c r="D52" s="30"/>
      <c r="H52" s="6"/>
    </row>
    <row r="53" customFormat="false" ht="13.5" hidden="false" customHeight="false" outlineLevel="0" collapsed="false">
      <c r="B53" s="31"/>
      <c r="D53" s="30"/>
      <c r="H53" s="6"/>
    </row>
    <row r="54" customFormat="false" ht="13.5" hidden="false" customHeight="false" outlineLevel="0" collapsed="false">
      <c r="E54" s="30"/>
      <c r="H54" s="6"/>
    </row>
    <row r="55" customFormat="false" ht="13.5" hidden="false" customHeight="false" outlineLevel="0" collapsed="false">
      <c r="H55" s="6"/>
    </row>
    <row r="56" customFormat="false" ht="13.5" hidden="false" customHeight="false" outlineLevel="0" collapsed="false">
      <c r="H56" s="6"/>
    </row>
  </sheetData>
  <printOptions headings="false" gridLines="false" gridLinesSet="true" horizontalCentered="false" verticalCentered="false"/>
  <pageMargins left="0" right="0" top="0.39375" bottom="0.39375" header="0" footer="0"/>
  <pageSetup paperSize="77" scale="100" fitToWidth="1" fitToHeight="1" pageOrder="overThenDown" orientation="landscape" blackAndWhite="false" draft="false" cellComments="none" firstPageNumber="1" useFirstPageNumber="true" horizontalDpi="300" verticalDpi="300" copies="1"/>
  <headerFooter differentFirst="false" differentOddEven="false">
    <oddHeader>&amp;C&amp;A</oddHeader>
    <oddFooter>&amp;CSeite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C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0" activeCellId="0" sqref="G4:G37"/>
    </sheetView>
  </sheetViews>
  <sheetFormatPr defaultColWidth="10.56640625" defaultRowHeight="13.5" zeroHeight="false" outlineLevelRow="0" outlineLevelCol="0"/>
  <cols>
    <col collapsed="false" customWidth="true" hidden="false" outlineLevel="0" max="1" min="1" style="0" width="9.33"/>
    <col collapsed="false" customWidth="true" hidden="false" outlineLevel="0" max="3" min="2" style="0" width="7.84"/>
    <col collapsed="false" customWidth="true" hidden="false" outlineLevel="0" max="4" min="4" style="0" width="37.75"/>
    <col collapsed="false" customWidth="true" hidden="false" outlineLevel="0" max="5" min="5" style="0" width="11.75"/>
    <col collapsed="false" customWidth="true" hidden="false" outlineLevel="0" max="6" min="6" style="0" width="9.83"/>
    <col collapsed="false" customWidth="true" hidden="false" outlineLevel="0" max="7" min="7" style="0" width="8.25"/>
    <col collapsed="false" customWidth="true" hidden="false" outlineLevel="0" max="8" min="8" style="0" width="8.58"/>
    <col collapsed="false" customWidth="true" hidden="false" outlineLevel="0" max="9" min="9" style="0" width="9.58"/>
    <col collapsed="false" customWidth="true" hidden="false" outlineLevel="0" max="11" min="11" style="0" width="6.52"/>
    <col collapsed="false" customWidth="true" hidden="false" outlineLevel="0" max="12" min="12" style="0" width="10.5"/>
    <col collapsed="false" customWidth="true" hidden="false" outlineLevel="0" max="13" min="13" style="0" width="13.82"/>
    <col collapsed="false" customWidth="true" hidden="false" outlineLevel="0" max="14" min="14" style="0" width="15.58"/>
    <col collapsed="false" customWidth="true" hidden="false" outlineLevel="0" max="15" min="15" style="0" width="14.58"/>
    <col collapsed="false" customWidth="true" hidden="true" outlineLevel="0" max="16" min="16" style="0" width="19.08"/>
    <col collapsed="false" customWidth="true" hidden="true" outlineLevel="0" max="18" min="17" style="0" width="10.5"/>
    <col collapsed="false" customWidth="true" hidden="true" outlineLevel="0" max="19" min="19" style="0" width="20.33"/>
    <col collapsed="false" customWidth="true" hidden="true" outlineLevel="0" max="20" min="20" style="0" width="9"/>
  </cols>
  <sheetData>
    <row r="1" customFormat="false" ht="13.5" hidden="false" customHeight="false" outlineLevel="0" collapsed="false">
      <c r="A1" s="51" t="s">
        <v>180</v>
      </c>
      <c r="B1" s="51" t="n">
        <f aca="false">100-COUNTBLANK(B3:B109)</f>
        <v>27</v>
      </c>
      <c r="C1" s="0" t="n">
        <v>3</v>
      </c>
      <c r="J1" s="52" t="s">
        <v>181</v>
      </c>
      <c r="K1" s="52"/>
      <c r="L1" s="52"/>
      <c r="Q1" s="53" t="s">
        <v>182</v>
      </c>
      <c r="R1" s="53"/>
      <c r="S1" s="53"/>
    </row>
    <row r="2" s="65" customFormat="true" ht="27.75" hidden="false" customHeight="false" outlineLevel="0" collapsed="false">
      <c r="A2" s="54" t="s">
        <v>183</v>
      </c>
      <c r="B2" s="55" t="s">
        <v>184</v>
      </c>
      <c r="C2" s="56" t="s">
        <v>185</v>
      </c>
      <c r="D2" s="57" t="s">
        <v>186</v>
      </c>
      <c r="E2" s="55" t="s">
        <v>187</v>
      </c>
      <c r="F2" s="56" t="s">
        <v>188</v>
      </c>
      <c r="G2" s="56" t="s">
        <v>189</v>
      </c>
      <c r="H2" s="56" t="s">
        <v>190</v>
      </c>
      <c r="I2" s="57" t="s">
        <v>191</v>
      </c>
      <c r="J2" s="58" t="s">
        <v>192</v>
      </c>
      <c r="K2" s="59" t="s">
        <v>193</v>
      </c>
      <c r="L2" s="60" t="s">
        <v>194</v>
      </c>
      <c r="M2" s="55" t="s">
        <v>195</v>
      </c>
      <c r="N2" s="56" t="s">
        <v>196</v>
      </c>
      <c r="O2" s="57" t="s">
        <v>197</v>
      </c>
      <c r="P2" s="61" t="s">
        <v>198</v>
      </c>
      <c r="Q2" s="62" t="s">
        <v>199</v>
      </c>
      <c r="R2" s="63" t="s">
        <v>200</v>
      </c>
      <c r="S2" s="64" t="s">
        <v>201</v>
      </c>
      <c r="T2" s="54" t="s">
        <v>202</v>
      </c>
    </row>
    <row r="3" customFormat="false" ht="13.5" hidden="false" customHeight="false" outlineLevel="0" collapsed="false">
      <c r="A3" s="0" t="s">
        <v>203</v>
      </c>
      <c r="B3" s="66" t="s">
        <v>204</v>
      </c>
      <c r="C3" s="67" t="s">
        <v>205</v>
      </c>
      <c r="D3" s="68" t="s">
        <v>206</v>
      </c>
      <c r="E3" s="69" t="n">
        <v>44197</v>
      </c>
      <c r="F3" s="70" t="n">
        <v>44561</v>
      </c>
      <c r="G3" s="67" t="n">
        <f aca="false">IF(E3&lt;&gt;"",_xlfn.DAYS(F3,E3)+1,"")</f>
        <v>365</v>
      </c>
      <c r="H3" s="71" t="n">
        <v>60.81</v>
      </c>
      <c r="I3" s="72" t="n">
        <v>5</v>
      </c>
      <c r="J3" s="73" t="n">
        <v>205.99</v>
      </c>
      <c r="K3" s="74" t="n">
        <f aca="false">IF(E3&lt;&gt;"",DATEDIF(E3,F3,"m")+1,"")</f>
        <v>12</v>
      </c>
      <c r="L3" s="75" t="n">
        <f aca="false">IFERROR(J3*K3,"")</f>
        <v>2471.88</v>
      </c>
      <c r="M3" s="76" t="n">
        <f aca="false">_xlfn.xlookup(B3,'Pivot-Tabelle_Ablesung ista &amp; W'!A:A,'Pivot-Tabelle_Ablesung ista &amp; W'!B:B,"",0,1)</f>
        <v>35.736</v>
      </c>
      <c r="N3" s="77" t="n">
        <f aca="false">_xlfn.xlookup(B3,'Pivot-Tabelle_Ablesung ista &amp; W'!A:A,'Pivot-Tabelle_Ablesung ista &amp; W'!C:C,"",0,1)</f>
        <v>16.748</v>
      </c>
      <c r="O3" s="78" t="n">
        <f aca="false">_xlfn.xlookup(B3,'Pivot-Tabelle_Ablesung ista &amp; W'!A:A,'Pivot-Tabelle_Ablesung ista &amp; W'!D:D,"",0,1)</f>
        <v>8973</v>
      </c>
      <c r="P3" s="79" t="e">
        <f aca="false">#REF!</f>
        <v>#REF!</v>
      </c>
      <c r="Q3" s="80" t="e">
        <f aca="false">J3-P3/12</f>
        <v>#REF!</v>
      </c>
      <c r="R3" s="81" t="e">
        <f aca="false">ROUND((Q3/100*Stammdaten!H$28)+Q3,0)</f>
        <v>#REF!</v>
      </c>
      <c r="S3" s="82" t="e">
        <f aca="false">R3-J3</f>
        <v>#REF!</v>
      </c>
      <c r="T3" s="0" t="s">
        <v>205</v>
      </c>
      <c r="U3" s="83"/>
      <c r="V3" s="83"/>
      <c r="W3" s="83"/>
      <c r="X3" s="83"/>
      <c r="Y3" s="83"/>
      <c r="Z3" s="83"/>
      <c r="AA3" s="83"/>
      <c r="AB3" s="83"/>
      <c r="AC3" s="83"/>
    </row>
    <row r="4" customFormat="false" ht="13.5" hidden="false" customHeight="false" outlineLevel="0" collapsed="false">
      <c r="A4" s="6" t="s">
        <v>203</v>
      </c>
      <c r="B4" s="66" t="s">
        <v>207</v>
      </c>
      <c r="C4" s="67" t="s">
        <v>208</v>
      </c>
      <c r="D4" s="68" t="s">
        <v>209</v>
      </c>
      <c r="E4" s="69" t="n">
        <v>44197</v>
      </c>
      <c r="F4" s="70" t="n">
        <v>44286</v>
      </c>
      <c r="G4" s="67" t="n">
        <f aca="false">IF(E4&lt;&gt;"",_xlfn.DAYS(F4,E4)+1,"")</f>
        <v>90</v>
      </c>
      <c r="H4" s="71" t="n">
        <v>61.43</v>
      </c>
      <c r="I4" s="72" t="n">
        <v>1.5</v>
      </c>
      <c r="J4" s="73" t="n">
        <v>127.68</v>
      </c>
      <c r="K4" s="74" t="n">
        <f aca="false">IF(E4&lt;&gt;"",DATEDIF(E4,F4,"m")+1,"")</f>
        <v>3</v>
      </c>
      <c r="L4" s="75" t="n">
        <f aca="false">IFERROR(J4*K4,"")</f>
        <v>383.04</v>
      </c>
      <c r="M4" s="76" t="n">
        <f aca="false">_xlfn.xlookup(B4,'Pivot-Tabelle_Ablesung ista &amp; W'!A:A,'Pivot-Tabelle_Ablesung ista &amp; W'!B:B,"",0,1)</f>
        <v>6.60600000000001</v>
      </c>
      <c r="N4" s="77" t="n">
        <f aca="false">_xlfn.xlookup(B4,'Pivot-Tabelle_Ablesung ista &amp; W'!A:A,'Pivot-Tabelle_Ablesung ista &amp; W'!C:C,"",0,1)</f>
        <v>3.373</v>
      </c>
      <c r="O4" s="78" t="n">
        <f aca="false">_xlfn.xlookup(B4,'Pivot-Tabelle_Ablesung ista &amp; W'!A:A,'Pivot-Tabelle_Ablesung ista &amp; W'!D:D,"",0,1)</f>
        <v>4120</v>
      </c>
      <c r="P4" s="79" t="e">
        <f aca="false">#REF!</f>
        <v>#REF!</v>
      </c>
      <c r="Q4" s="80" t="e">
        <f aca="false">J4-P4/12</f>
        <v>#REF!</v>
      </c>
      <c r="R4" s="81" t="e">
        <f aca="false">ROUND((Q4/100*Stammdaten!H$28)+Q4,0)</f>
        <v>#REF!</v>
      </c>
      <c r="S4" s="82" t="e">
        <f aca="false">R4-J4</f>
        <v>#REF!</v>
      </c>
      <c r="T4" s="6" t="s">
        <v>208</v>
      </c>
    </row>
    <row r="5" s="6" customFormat="true" ht="13.5" hidden="false" customHeight="false" outlineLevel="0" collapsed="false">
      <c r="A5" s="6" t="s">
        <v>203</v>
      </c>
      <c r="B5" s="66" t="s">
        <v>210</v>
      </c>
      <c r="C5" s="67" t="s">
        <v>208</v>
      </c>
      <c r="D5" s="68" t="s">
        <v>211</v>
      </c>
      <c r="E5" s="69" t="n">
        <v>44287</v>
      </c>
      <c r="F5" s="70" t="n">
        <v>44561</v>
      </c>
      <c r="G5" s="67" t="n">
        <f aca="false">IF(E5&lt;&gt;"",_xlfn.DAYS(F5,E5)+1,"")</f>
        <v>275</v>
      </c>
      <c r="H5" s="71" t="n">
        <v>61.43</v>
      </c>
      <c r="I5" s="72" t="n">
        <v>1</v>
      </c>
      <c r="J5" s="73" t="n">
        <v>129.13</v>
      </c>
      <c r="K5" s="74" t="n">
        <f aca="false">IF(E5&lt;&gt;"",DATEDIF(E5,F5,"m")+1,"")</f>
        <v>9</v>
      </c>
      <c r="L5" s="75" t="n">
        <f aca="false">IFERROR(J5*K5,"")</f>
        <v>1162.17</v>
      </c>
      <c r="M5" s="76" t="n">
        <f aca="false">_xlfn.xlookup(B5,'Pivot-Tabelle_Ablesung ista &amp; W'!A:A,'Pivot-Tabelle_Ablesung ista &amp; W'!B:B,"",0,1)</f>
        <v>20.472</v>
      </c>
      <c r="N5" s="77" t="n">
        <f aca="false">_xlfn.xlookup(B5,'Pivot-Tabelle_Ablesung ista &amp; W'!A:A,'Pivot-Tabelle_Ablesung ista &amp; W'!C:C,"",0,1)</f>
        <v>7.457</v>
      </c>
      <c r="O5" s="78" t="n">
        <f aca="false">_xlfn.xlookup(B5,'Pivot-Tabelle_Ablesung ista &amp; W'!A:A,'Pivot-Tabelle_Ablesung ista &amp; W'!D:D,"",0,1)</f>
        <v>2477</v>
      </c>
      <c r="P5" s="79"/>
      <c r="Q5" s="80"/>
      <c r="R5" s="81"/>
      <c r="S5" s="82"/>
    </row>
    <row r="6" customFormat="false" ht="13.5" hidden="false" customHeight="false" outlineLevel="0" collapsed="false">
      <c r="A6" s="6" t="s">
        <v>203</v>
      </c>
      <c r="B6" s="66" t="s">
        <v>212</v>
      </c>
      <c r="C6" s="67" t="s">
        <v>213</v>
      </c>
      <c r="D6" s="68" t="s">
        <v>214</v>
      </c>
      <c r="E6" s="69" t="n">
        <v>44197</v>
      </c>
      <c r="F6" s="70" t="n">
        <v>44377</v>
      </c>
      <c r="G6" s="67" t="n">
        <f aca="false">IF(E6&lt;&gt;"",_xlfn.DAYS(F6,E6)+1,"")</f>
        <v>181</v>
      </c>
      <c r="H6" s="71" t="n">
        <v>86.41</v>
      </c>
      <c r="I6" s="72" t="n">
        <v>2</v>
      </c>
      <c r="J6" s="73" t="n">
        <v>218.14</v>
      </c>
      <c r="K6" s="74" t="n">
        <f aca="false">IF(E6&lt;&gt;"",DATEDIF(E6,F6,"m")+1,"")</f>
        <v>6</v>
      </c>
      <c r="L6" s="75" t="n">
        <f aca="false">IFERROR(J6*K6,"")</f>
        <v>1308.84</v>
      </c>
      <c r="M6" s="76" t="n">
        <f aca="false">_xlfn.xlookup(B6,'Pivot-Tabelle_Ablesung ista &amp; W'!A:A,'Pivot-Tabelle_Ablesung ista &amp; W'!B:B,"",0,1)</f>
        <v>9.24100000000001</v>
      </c>
      <c r="N6" s="77" t="n">
        <f aca="false">_xlfn.xlookup(B6,'Pivot-Tabelle_Ablesung ista &amp; W'!A:A,'Pivot-Tabelle_Ablesung ista &amp; W'!C:C,"",0,1)</f>
        <v>4.64900000000001</v>
      </c>
      <c r="O6" s="78" t="n">
        <f aca="false">_xlfn.xlookup(B6,'Pivot-Tabelle_Ablesung ista &amp; W'!A:A,'Pivot-Tabelle_Ablesung ista &amp; W'!D:D,"",0,1)</f>
        <v>5003</v>
      </c>
      <c r="P6" s="79"/>
      <c r="Q6" s="80"/>
      <c r="R6" s="81"/>
      <c r="S6" s="82"/>
      <c r="T6" s="6" t="s">
        <v>213</v>
      </c>
    </row>
    <row r="7" s="6" customFormat="true" ht="13.5" hidden="false" customHeight="false" outlineLevel="0" collapsed="false">
      <c r="A7" s="6" t="s">
        <v>203</v>
      </c>
      <c r="B7" s="66" t="s">
        <v>215</v>
      </c>
      <c r="C7" s="67" t="s">
        <v>213</v>
      </c>
      <c r="D7" s="68" t="s">
        <v>216</v>
      </c>
      <c r="E7" s="69" t="n">
        <v>44378</v>
      </c>
      <c r="F7" s="70" t="n">
        <v>44561</v>
      </c>
      <c r="G7" s="67" t="n">
        <f aca="false">IF(E7&lt;&gt;"",_xlfn.DAYS(F7,E7)+1,"")</f>
        <v>184</v>
      </c>
      <c r="H7" s="71" t="n">
        <v>86.41</v>
      </c>
      <c r="I7" s="72" t="n">
        <v>2</v>
      </c>
      <c r="J7" s="73" t="n">
        <v>211.14</v>
      </c>
      <c r="K7" s="74" t="n">
        <f aca="false">IF(E7&lt;&gt;"",DATEDIF(E7,F7,"m")+1,"")</f>
        <v>6</v>
      </c>
      <c r="L7" s="75" t="n">
        <f aca="false">IFERROR(J7*K7,"")</f>
        <v>1266.84</v>
      </c>
      <c r="M7" s="76" t="n">
        <f aca="false">_xlfn.xlookup(B7,'Pivot-Tabelle_Ablesung ista &amp; W'!A:A,'Pivot-Tabelle_Ablesung ista &amp; W'!B:B,"",0,1)</f>
        <v>18.591</v>
      </c>
      <c r="N7" s="77" t="n">
        <f aca="false">_xlfn.xlookup(B7,'Pivot-Tabelle_Ablesung ista &amp; W'!A:A,'Pivot-Tabelle_Ablesung ista &amp; W'!C:C,"",0,1)</f>
        <v>6.466</v>
      </c>
      <c r="O7" s="78" t="n">
        <f aca="false">_xlfn.xlookup(B7,'Pivot-Tabelle_Ablesung ista &amp; W'!A:A,'Pivot-Tabelle_Ablesung ista &amp; W'!D:D,"",0,1)</f>
        <v>1203</v>
      </c>
      <c r="P7" s="79"/>
      <c r="Q7" s="80"/>
      <c r="R7" s="81"/>
      <c r="S7" s="82"/>
    </row>
    <row r="8" s="6" customFormat="true" ht="13.5" hidden="false" customHeight="false" outlineLevel="0" collapsed="false">
      <c r="A8" s="6" t="s">
        <v>203</v>
      </c>
      <c r="B8" s="66" t="s">
        <v>217</v>
      </c>
      <c r="C8" s="67" t="s">
        <v>218</v>
      </c>
      <c r="D8" s="68" t="s">
        <v>219</v>
      </c>
      <c r="E8" s="69" t="n">
        <v>44197</v>
      </c>
      <c r="F8" s="70" t="n">
        <v>44561</v>
      </c>
      <c r="G8" s="67" t="n">
        <f aca="false">IF(E8&lt;&gt;"",_xlfn.DAYS(F8,E8)+1,"")</f>
        <v>365</v>
      </c>
      <c r="H8" s="71" t="n">
        <v>42.84</v>
      </c>
      <c r="I8" s="72" t="n">
        <v>3</v>
      </c>
      <c r="J8" s="73" t="n">
        <v>109.25</v>
      </c>
      <c r="K8" s="74" t="n">
        <f aca="false">IF(E8&lt;&gt;"",DATEDIF(E8,F8,"m")+1,"")</f>
        <v>12</v>
      </c>
      <c r="L8" s="75" t="n">
        <f aca="false">IFERROR(J8*K8,"")</f>
        <v>1311</v>
      </c>
      <c r="M8" s="76" t="n">
        <f aca="false">_xlfn.xlookup(B8,'Pivot-Tabelle_Ablesung ista &amp; W'!A:A,'Pivot-Tabelle_Ablesung ista &amp; W'!B:B,"",0,1)</f>
        <v>43.957</v>
      </c>
      <c r="N8" s="77" t="n">
        <f aca="false">_xlfn.xlookup(B8,'Pivot-Tabelle_Ablesung ista &amp; W'!A:A,'Pivot-Tabelle_Ablesung ista &amp; W'!C:C,"",0,1)</f>
        <v>19.979</v>
      </c>
      <c r="O8" s="78" t="n">
        <f aca="false">_xlfn.xlookup(B8,'Pivot-Tabelle_Ablesung ista &amp; W'!A:A,'Pivot-Tabelle_Ablesung ista &amp; W'!D:D,"",0,1)</f>
        <v>1573</v>
      </c>
      <c r="P8" s="79"/>
      <c r="Q8" s="80"/>
      <c r="R8" s="81"/>
      <c r="S8" s="82"/>
      <c r="T8" s="6" t="s">
        <v>218</v>
      </c>
    </row>
    <row r="9" s="6" customFormat="true" ht="13.5" hidden="false" customHeight="false" outlineLevel="0" collapsed="false">
      <c r="A9" s="6" t="s">
        <v>203</v>
      </c>
      <c r="B9" s="66" t="s">
        <v>220</v>
      </c>
      <c r="C9" s="67" t="s">
        <v>221</v>
      </c>
      <c r="D9" s="68" t="s">
        <v>222</v>
      </c>
      <c r="E9" s="69" t="n">
        <v>44197</v>
      </c>
      <c r="F9" s="70" t="n">
        <v>44469</v>
      </c>
      <c r="G9" s="67" t="n">
        <f aca="false">IF(E9&lt;&gt;"",_xlfn.DAYS(F9,E9)+1,"")</f>
        <v>273</v>
      </c>
      <c r="H9" s="71" t="n">
        <v>42.85</v>
      </c>
      <c r="I9" s="72" t="n">
        <v>4</v>
      </c>
      <c r="J9" s="84" t="n">
        <v>81.12</v>
      </c>
      <c r="K9" s="74" t="n">
        <f aca="false">IF(E9&lt;&gt;"",DATEDIF(E9,F9,"m")+1,"")</f>
        <v>9</v>
      </c>
      <c r="L9" s="75" t="n">
        <f aca="false">IFERROR(J9*K9,"")</f>
        <v>730.08</v>
      </c>
      <c r="M9" s="76" t="n">
        <f aca="false">_xlfn.xlookup(B9,'Pivot-Tabelle_Ablesung ista &amp; W'!A:A,'Pivot-Tabelle_Ablesung ista &amp; W'!B:B,"",0,1)</f>
        <v>13.226</v>
      </c>
      <c r="N9" s="77" t="n">
        <f aca="false">_xlfn.xlookup(B9,'Pivot-Tabelle_Ablesung ista &amp; W'!A:A,'Pivot-Tabelle_Ablesung ista &amp; W'!C:C,"",0,1)</f>
        <v>7.128</v>
      </c>
      <c r="O9" s="78" t="n">
        <f aca="false">_xlfn.xlookup(B9,'Pivot-Tabelle_Ablesung ista &amp; W'!A:A,'Pivot-Tabelle_Ablesung ista &amp; W'!D:D,"",0,1)</f>
        <v>2749</v>
      </c>
      <c r="P9" s="79"/>
      <c r="Q9" s="80"/>
      <c r="R9" s="81"/>
      <c r="S9" s="82"/>
      <c r="T9" s="6" t="s">
        <v>221</v>
      </c>
    </row>
    <row r="10" s="6" customFormat="true" ht="13.5" hidden="false" customHeight="false" outlineLevel="0" collapsed="false">
      <c r="A10" s="6" t="s">
        <v>203</v>
      </c>
      <c r="B10" s="66" t="s">
        <v>223</v>
      </c>
      <c r="C10" s="67" t="s">
        <v>221</v>
      </c>
      <c r="D10" s="68" t="s">
        <v>224</v>
      </c>
      <c r="E10" s="69" t="n">
        <v>44470</v>
      </c>
      <c r="F10" s="70" t="n">
        <v>44561</v>
      </c>
      <c r="G10" s="67" t="n">
        <f aca="false">IF(E10&lt;&gt;"",_xlfn.DAYS(F10,E10)+1,"")</f>
        <v>92</v>
      </c>
      <c r="H10" s="71" t="n">
        <v>42.85</v>
      </c>
      <c r="I10" s="72" t="n">
        <v>6</v>
      </c>
      <c r="J10" s="84" t="n">
        <v>114.77</v>
      </c>
      <c r="K10" s="74" t="n">
        <f aca="false">IF(E10&lt;&gt;"",DATEDIF(E10,F10,"m")+1,"")</f>
        <v>3</v>
      </c>
      <c r="L10" s="75" t="n">
        <f aca="false">IFERROR(J10*K10,"")</f>
        <v>344.31</v>
      </c>
      <c r="M10" s="76" t="n">
        <f aca="false">_xlfn.xlookup(B10,'Pivot-Tabelle_Ablesung ista &amp; W'!A:A,'Pivot-Tabelle_Ablesung ista &amp; W'!B:B,"",0,1)</f>
        <v>2.506</v>
      </c>
      <c r="N10" s="77" t="n">
        <f aca="false">_xlfn.xlookup(B10,'Pivot-Tabelle_Ablesung ista &amp; W'!A:A,'Pivot-Tabelle_Ablesung ista &amp; W'!C:C,"",0,1)</f>
        <v>0.554000000000002</v>
      </c>
      <c r="O10" s="78" t="n">
        <f aca="false">_xlfn.xlookup(B10,'Pivot-Tabelle_Ablesung ista &amp; W'!A:A,'Pivot-Tabelle_Ablesung ista &amp; W'!D:D,"",0,1)</f>
        <v>1102</v>
      </c>
      <c r="P10" s="79"/>
      <c r="Q10" s="80"/>
      <c r="R10" s="81"/>
      <c r="S10" s="82"/>
    </row>
    <row r="11" s="6" customFormat="true" ht="13.5" hidden="false" customHeight="false" outlineLevel="0" collapsed="false">
      <c r="A11" s="6" t="s">
        <v>203</v>
      </c>
      <c r="B11" s="66" t="s">
        <v>225</v>
      </c>
      <c r="C11" s="67" t="s">
        <v>226</v>
      </c>
      <c r="D11" s="68" t="s">
        <v>227</v>
      </c>
      <c r="E11" s="69" t="n">
        <v>44197</v>
      </c>
      <c r="F11" s="70" t="n">
        <v>44561</v>
      </c>
      <c r="G11" s="67" t="n">
        <f aca="false">IF(E11&lt;&gt;"",_xlfn.DAYS(F11,E11)+1,"")</f>
        <v>365</v>
      </c>
      <c r="H11" s="71" t="n">
        <v>85.76</v>
      </c>
      <c r="I11" s="72" t="n">
        <v>4</v>
      </c>
      <c r="J11" s="73" t="n">
        <v>257.28</v>
      </c>
      <c r="K11" s="74" t="n">
        <f aca="false">IF(E11&lt;&gt;"",DATEDIF(E11,F11,"m")+1,"")</f>
        <v>12</v>
      </c>
      <c r="L11" s="75" t="n">
        <f aca="false">IFERROR(J11*K11,"")</f>
        <v>3087.36</v>
      </c>
      <c r="M11" s="76" t="n">
        <f aca="false">_xlfn.xlookup(B11,'Pivot-Tabelle_Ablesung ista &amp; W'!A:A,'Pivot-Tabelle_Ablesung ista &amp; W'!B:B,"",0,1)</f>
        <v>37.667</v>
      </c>
      <c r="N11" s="77" t="n">
        <f aca="false">_xlfn.xlookup(B11,'Pivot-Tabelle_Ablesung ista &amp; W'!A:A,'Pivot-Tabelle_Ablesung ista &amp; W'!C:C,"",0,1)</f>
        <v>4</v>
      </c>
      <c r="O11" s="78" t="n">
        <f aca="false">_xlfn.xlookup(B11,'Pivot-Tabelle_Ablesung ista &amp; W'!A:A,'Pivot-Tabelle_Ablesung ista &amp; W'!D:D,"",0,1)</f>
        <v>4780</v>
      </c>
      <c r="P11" s="79" t="e">
        <f aca="false">#REF!</f>
        <v>#REF!</v>
      </c>
      <c r="Q11" s="80" t="e">
        <f aca="false">J11-P11/12</f>
        <v>#REF!</v>
      </c>
      <c r="R11" s="81" t="e">
        <f aca="false">ROUND((Q11/100*Stammdaten!H$28)+Q11,0)</f>
        <v>#REF!</v>
      </c>
      <c r="S11" s="82" t="e">
        <f aca="false">R11-J11</f>
        <v>#REF!</v>
      </c>
      <c r="T11" s="6" t="s">
        <v>226</v>
      </c>
    </row>
    <row r="12" s="6" customFormat="true" ht="13.5" hidden="false" customHeight="false" outlineLevel="0" collapsed="false">
      <c r="A12" s="6" t="s">
        <v>203</v>
      </c>
      <c r="B12" s="66" t="s">
        <v>228</v>
      </c>
      <c r="C12" s="67" t="s">
        <v>229</v>
      </c>
      <c r="D12" s="68" t="s">
        <v>230</v>
      </c>
      <c r="E12" s="69" t="n">
        <v>44197</v>
      </c>
      <c r="F12" s="70" t="n">
        <v>44561</v>
      </c>
      <c r="G12" s="67" t="n">
        <f aca="false">IF(E12&lt;&gt;"",_xlfn.DAYS(F12,E12)+1,"")</f>
        <v>365</v>
      </c>
      <c r="H12" s="71" t="n">
        <v>61.29</v>
      </c>
      <c r="I12" s="72" t="n">
        <v>2.5</v>
      </c>
      <c r="J12" s="73" t="n">
        <v>259.97</v>
      </c>
      <c r="K12" s="74" t="n">
        <f aca="false">IF(E12&lt;&gt;"",DATEDIF(E12,F12,"m")+1,"")</f>
        <v>12</v>
      </c>
      <c r="L12" s="75" t="n">
        <f aca="false">IFERROR(J12*K12,"")</f>
        <v>3119.64</v>
      </c>
      <c r="M12" s="76" t="n">
        <f aca="false">_xlfn.xlookup(B12,'Pivot-Tabelle_Ablesung ista &amp; W'!A:A,'Pivot-Tabelle_Ablesung ista &amp; W'!B:B,"",0,1)</f>
        <v>29.275</v>
      </c>
      <c r="N12" s="77" t="n">
        <f aca="false">_xlfn.xlookup(B12,'Pivot-Tabelle_Ablesung ista &amp; W'!A:A,'Pivot-Tabelle_Ablesung ista &amp; W'!C:C,"",0,1)</f>
        <v>8.339</v>
      </c>
      <c r="O12" s="78" t="n">
        <f aca="false">_xlfn.xlookup(B12,'Pivot-Tabelle_Ablesung ista &amp; W'!A:A,'Pivot-Tabelle_Ablesung ista &amp; W'!D:D,"",0,1)</f>
        <v>14060</v>
      </c>
      <c r="P12" s="79" t="e">
        <f aca="false">#REF!</f>
        <v>#REF!</v>
      </c>
      <c r="Q12" s="80" t="e">
        <f aca="false">J12-P12/12</f>
        <v>#REF!</v>
      </c>
      <c r="R12" s="81" t="e">
        <f aca="false">ROUND((Q12/100*Stammdaten!H$28)+Q12,0)</f>
        <v>#REF!</v>
      </c>
      <c r="S12" s="82" t="e">
        <f aca="false">R12-J12</f>
        <v>#REF!</v>
      </c>
      <c r="T12" s="6" t="s">
        <v>229</v>
      </c>
    </row>
    <row r="13" s="6" customFormat="true" ht="13.5" hidden="false" customHeight="false" outlineLevel="0" collapsed="false">
      <c r="A13" s="6" t="s">
        <v>203</v>
      </c>
      <c r="B13" s="66" t="s">
        <v>231</v>
      </c>
      <c r="C13" s="67" t="s">
        <v>232</v>
      </c>
      <c r="D13" s="68" t="s">
        <v>233</v>
      </c>
      <c r="E13" s="69" t="n">
        <v>44197</v>
      </c>
      <c r="F13" s="70" t="n">
        <v>44561</v>
      </c>
      <c r="G13" s="67" t="n">
        <f aca="false">IF(E13&lt;&gt;"",_xlfn.DAYS(F13,E13)+1,"")</f>
        <v>365</v>
      </c>
      <c r="H13" s="71" t="n">
        <v>60.58</v>
      </c>
      <c r="I13" s="72" t="n">
        <v>2.5</v>
      </c>
      <c r="J13" s="73" t="n">
        <v>142.17</v>
      </c>
      <c r="K13" s="74" t="n">
        <f aca="false">IF(E13&lt;&gt;"",DATEDIF(E13,F13,"m")+1,"")</f>
        <v>12</v>
      </c>
      <c r="L13" s="75" t="n">
        <f aca="false">IFERROR(J13*K13,"")</f>
        <v>1706.04</v>
      </c>
      <c r="M13" s="76" t="n">
        <f aca="false">_xlfn.xlookup(B13,'Pivot-Tabelle_Ablesung ista &amp; W'!A:A,'Pivot-Tabelle_Ablesung ista &amp; W'!B:B,"",0,1)</f>
        <v>19.344</v>
      </c>
      <c r="N13" s="77" t="n">
        <f aca="false">_xlfn.xlookup(B13,'Pivot-Tabelle_Ablesung ista &amp; W'!A:A,'Pivot-Tabelle_Ablesung ista &amp; W'!C:C,"",0,1)</f>
        <v>11.964</v>
      </c>
      <c r="O13" s="78" t="n">
        <f aca="false">_xlfn.xlookup(B13,'Pivot-Tabelle_Ablesung ista &amp; W'!A:A,'Pivot-Tabelle_Ablesung ista &amp; W'!D:D,"",0,1)</f>
        <v>7476</v>
      </c>
      <c r="P13" s="79"/>
      <c r="Q13" s="80"/>
      <c r="R13" s="81"/>
      <c r="S13" s="82"/>
      <c r="X13" s="6" t="s">
        <v>48</v>
      </c>
    </row>
    <row r="14" s="6" customFormat="true" ht="13.5" hidden="false" customHeight="false" outlineLevel="0" collapsed="false">
      <c r="A14" s="6" t="s">
        <v>234</v>
      </c>
      <c r="B14" s="66" t="s">
        <v>235</v>
      </c>
      <c r="C14" s="67" t="s">
        <v>236</v>
      </c>
      <c r="D14" s="68" t="s">
        <v>237</v>
      </c>
      <c r="E14" s="69" t="n">
        <v>44197</v>
      </c>
      <c r="F14" s="70" t="n">
        <v>44561</v>
      </c>
      <c r="G14" s="67" t="n">
        <f aca="false">IF(E14&lt;&gt;"",_xlfn.DAYS(F14,E14)+1,"")</f>
        <v>365</v>
      </c>
      <c r="H14" s="71" t="n">
        <v>124.55</v>
      </c>
      <c r="I14" s="72" t="n">
        <v>1</v>
      </c>
      <c r="J14" s="73" t="n">
        <v>306</v>
      </c>
      <c r="K14" s="74" t="n">
        <f aca="false">IF(E14&lt;&gt;"",DATEDIF(E14,F14,"m")+1,"")</f>
        <v>12</v>
      </c>
      <c r="L14" s="75" t="n">
        <f aca="false">IFERROR(J14*K14,"")</f>
        <v>3672</v>
      </c>
      <c r="M14" s="76" t="n">
        <f aca="false">_xlfn.xlookup(B14,'Pivot-Tabelle_Ablesung ista &amp; W'!A:A,'Pivot-Tabelle_Ablesung ista &amp; W'!B:B,"",0,1)</f>
        <v>189.455</v>
      </c>
      <c r="N14" s="77" t="n">
        <f aca="false">_xlfn.xlookup(B14,'Pivot-Tabelle_Ablesung ista &amp; W'!A:A,'Pivot-Tabelle_Ablesung ista &amp; W'!C:C,"",0,1)</f>
        <v>80.11</v>
      </c>
      <c r="O14" s="78" t="n">
        <f aca="false">_xlfn.xlookup(B14,'Pivot-Tabelle_Ablesung ista &amp; W'!A:A,'Pivot-Tabelle_Ablesung ista &amp; W'!D:D,"",0,1)</f>
        <v>12655</v>
      </c>
      <c r="P14" s="79"/>
      <c r="Q14" s="80"/>
      <c r="R14" s="81"/>
      <c r="S14" s="82"/>
    </row>
    <row r="15" s="6" customFormat="true" ht="13.5" hidden="false" customHeight="false" outlineLevel="0" collapsed="false">
      <c r="A15" s="6" t="s">
        <v>234</v>
      </c>
      <c r="B15" s="66" t="s">
        <v>238</v>
      </c>
      <c r="C15" s="67" t="s">
        <v>239</v>
      </c>
      <c r="D15" s="68" t="s">
        <v>240</v>
      </c>
      <c r="E15" s="69" t="n">
        <v>44197</v>
      </c>
      <c r="F15" s="70" t="n">
        <v>44561</v>
      </c>
      <c r="G15" s="67" t="n">
        <f aca="false">IF(E15&lt;&gt;"",_xlfn.DAYS(F15,E15)+1,"")</f>
        <v>365</v>
      </c>
      <c r="H15" s="71" t="n">
        <v>88.6</v>
      </c>
      <c r="I15" s="72" t="n">
        <v>4</v>
      </c>
      <c r="J15" s="73" t="n">
        <v>110.72</v>
      </c>
      <c r="K15" s="74" t="n">
        <f aca="false">IF(E15&lt;&gt;"",DATEDIF(E15,F15,"m")+1,"")</f>
        <v>12</v>
      </c>
      <c r="L15" s="75" t="n">
        <f aca="false">IFERROR(J15*K15,"")</f>
        <v>1328.64</v>
      </c>
      <c r="M15" s="76" t="n">
        <f aca="false">_xlfn.xlookup(B15,'Pivot-Tabelle_Ablesung ista &amp; W'!A:A,'Pivot-Tabelle_Ablesung ista &amp; W'!B:B,"",0,1)</f>
        <v>22.013</v>
      </c>
      <c r="N15" s="77" t="n">
        <f aca="false">_xlfn.xlookup(B15,'Pivot-Tabelle_Ablesung ista &amp; W'!A:A,'Pivot-Tabelle_Ablesung ista &amp; W'!C:C,"",0,1)</f>
        <v>17.105</v>
      </c>
      <c r="O15" s="78" t="n">
        <f aca="false">_xlfn.xlookup(B15,'Pivot-Tabelle_Ablesung ista &amp; W'!A:A,'Pivot-Tabelle_Ablesung ista &amp; W'!D:D,"",0,1)</f>
        <v>602</v>
      </c>
      <c r="P15" s="79" t="e">
        <f aca="false">#REF!</f>
        <v>#REF!</v>
      </c>
      <c r="Q15" s="80" t="e">
        <f aca="false">J15-P15/12</f>
        <v>#REF!</v>
      </c>
      <c r="R15" s="81" t="e">
        <f aca="false">ROUND((Q15/100*Stammdaten!H$28)+Q15,0)</f>
        <v>#REF!</v>
      </c>
      <c r="S15" s="82" t="e">
        <f aca="false">R15-J15</f>
        <v>#REF!</v>
      </c>
      <c r="T15" s="6" t="s">
        <v>239</v>
      </c>
    </row>
    <row r="16" s="6" customFormat="true" ht="13.5" hidden="false" customHeight="false" outlineLevel="0" collapsed="false">
      <c r="A16" s="6" t="s">
        <v>234</v>
      </c>
      <c r="B16" s="66" t="s">
        <v>241</v>
      </c>
      <c r="C16" s="67" t="s">
        <v>242</v>
      </c>
      <c r="D16" s="68" t="s">
        <v>243</v>
      </c>
      <c r="E16" s="69" t="n">
        <v>44197</v>
      </c>
      <c r="F16" s="70" t="n">
        <v>44561</v>
      </c>
      <c r="G16" s="67" t="n">
        <f aca="false">IF(E16&lt;&gt;"",_xlfn.DAYS(F16,E16)+1,"")</f>
        <v>365</v>
      </c>
      <c r="H16" s="71" t="n">
        <v>88.35</v>
      </c>
      <c r="I16" s="72" t="n">
        <v>4</v>
      </c>
      <c r="J16" s="73" t="n">
        <v>167.72</v>
      </c>
      <c r="K16" s="74" t="n">
        <f aca="false">IF(E16&lt;&gt;"",DATEDIF(E16,F16,"m")+1,"")</f>
        <v>12</v>
      </c>
      <c r="L16" s="75" t="n">
        <f aca="false">IFERROR(J16*K16,"")</f>
        <v>2012.64</v>
      </c>
      <c r="M16" s="76" t="n">
        <f aca="false">_xlfn.xlookup(B16,'Pivot-Tabelle_Ablesung ista &amp; W'!A:A,'Pivot-Tabelle_Ablesung ista &amp; W'!B:B,"",0,1)</f>
        <v>14.321</v>
      </c>
      <c r="N16" s="77" t="n">
        <f aca="false">_xlfn.xlookup(B16,'Pivot-Tabelle_Ablesung ista &amp; W'!A:A,'Pivot-Tabelle_Ablesung ista &amp; W'!C:C,"",0,1)</f>
        <v>49.885</v>
      </c>
      <c r="O16" s="78" t="n">
        <f aca="false">_xlfn.xlookup(B16,'Pivot-Tabelle_Ablesung ista &amp; W'!A:A,'Pivot-Tabelle_Ablesung ista &amp; W'!D:D,"",0,1)</f>
        <v>3742</v>
      </c>
      <c r="P16" s="79" t="e">
        <f aca="false">#REF!</f>
        <v>#REF!</v>
      </c>
      <c r="Q16" s="80" t="e">
        <f aca="false">J16-P16/12</f>
        <v>#REF!</v>
      </c>
      <c r="R16" s="81" t="e">
        <f aca="false">ROUND((Q16/100*Stammdaten!H$28)+Q16,0)</f>
        <v>#REF!</v>
      </c>
      <c r="S16" s="82" t="e">
        <f aca="false">R16-J16</f>
        <v>#REF!</v>
      </c>
      <c r="T16" s="6" t="s">
        <v>242</v>
      </c>
    </row>
    <row r="17" s="6" customFormat="true" ht="13.5" hidden="false" customHeight="false" outlineLevel="0" collapsed="false">
      <c r="A17" s="6" t="s">
        <v>234</v>
      </c>
      <c r="B17" s="66" t="s">
        <v>244</v>
      </c>
      <c r="C17" s="67" t="s">
        <v>245</v>
      </c>
      <c r="D17" s="68" t="s">
        <v>246</v>
      </c>
      <c r="E17" s="69" t="n">
        <v>44197</v>
      </c>
      <c r="F17" s="70" t="n">
        <v>44561</v>
      </c>
      <c r="G17" s="67" t="n">
        <f aca="false">IF(E17&lt;&gt;"",_xlfn.DAYS(F17,E17)+1,"")</f>
        <v>365</v>
      </c>
      <c r="H17" s="71" t="n">
        <v>64.28</v>
      </c>
      <c r="I17" s="72" t="n">
        <v>2</v>
      </c>
      <c r="J17" s="73" t="n">
        <v>198.57</v>
      </c>
      <c r="K17" s="74" t="n">
        <f aca="false">IF(E17&lt;&gt;"",DATEDIF(E17,F17,"m")+1,"")</f>
        <v>12</v>
      </c>
      <c r="L17" s="75" t="n">
        <f aca="false">IFERROR(J17*K17,"")</f>
        <v>2382.84</v>
      </c>
      <c r="M17" s="76" t="n">
        <f aca="false">_xlfn.xlookup(B17,'Pivot-Tabelle_Ablesung ista &amp; W'!A:A,'Pivot-Tabelle_Ablesung ista &amp; W'!B:B,"",0,1)</f>
        <v>56.026</v>
      </c>
      <c r="N17" s="77" t="n">
        <f aca="false">_xlfn.xlookup(B17,'Pivot-Tabelle_Ablesung ista &amp; W'!A:A,'Pivot-Tabelle_Ablesung ista &amp; W'!C:C,"",0,1)</f>
        <v>23.465</v>
      </c>
      <c r="O17" s="78" t="n">
        <f aca="false">_xlfn.xlookup(B17,'Pivot-Tabelle_Ablesung ista &amp; W'!A:A,'Pivot-Tabelle_Ablesung ista &amp; W'!D:D,"",0,1)</f>
        <v>11301</v>
      </c>
      <c r="P17" s="79"/>
      <c r="Q17" s="80"/>
      <c r="R17" s="81"/>
      <c r="S17" s="82"/>
    </row>
    <row r="18" s="6" customFormat="true" ht="13.5" hidden="false" customHeight="false" outlineLevel="0" collapsed="false">
      <c r="A18" s="6" t="s">
        <v>234</v>
      </c>
      <c r="B18" s="66" t="s">
        <v>247</v>
      </c>
      <c r="C18" s="67" t="s">
        <v>248</v>
      </c>
      <c r="D18" s="68" t="s">
        <v>249</v>
      </c>
      <c r="E18" s="69" t="n">
        <v>44197</v>
      </c>
      <c r="F18" s="70" t="n">
        <v>44561</v>
      </c>
      <c r="G18" s="67" t="n">
        <f aca="false">IF(E18&lt;&gt;"",_xlfn.DAYS(F18,E18)+1,"")</f>
        <v>365</v>
      </c>
      <c r="H18" s="71" t="n">
        <v>88.36</v>
      </c>
      <c r="I18" s="72" t="n">
        <v>1</v>
      </c>
      <c r="J18" s="73" t="n">
        <v>205.66</v>
      </c>
      <c r="K18" s="74" t="n">
        <f aca="false">IF(E18&lt;&gt;"",DATEDIF(E18,F18,"m")+1,"")</f>
        <v>12</v>
      </c>
      <c r="L18" s="75" t="n">
        <f aca="false">IFERROR(J18*K18,"")</f>
        <v>2467.92</v>
      </c>
      <c r="M18" s="76" t="n">
        <f aca="false">_xlfn.xlookup(B18,'Pivot-Tabelle_Ablesung ista &amp; W'!A:A,'Pivot-Tabelle_Ablesung ista &amp; W'!B:B,"",0,1)</f>
        <v>50.897</v>
      </c>
      <c r="N18" s="77" t="n">
        <f aca="false">_xlfn.xlookup(B18,'Pivot-Tabelle_Ablesung ista &amp; W'!A:A,'Pivot-Tabelle_Ablesung ista &amp; W'!C:C,"",0,1)</f>
        <v>17.192</v>
      </c>
      <c r="O18" s="78" t="n">
        <f aca="false">_xlfn.xlookup(B18,'Pivot-Tabelle_Ablesung ista &amp; W'!A:A,'Pivot-Tabelle_Ablesung ista &amp; W'!D:D,"",0,1)</f>
        <v>4113</v>
      </c>
      <c r="P18" s="79" t="e">
        <f aca="false">#REF!</f>
        <v>#REF!</v>
      </c>
      <c r="Q18" s="80" t="e">
        <f aca="false">J18-P18/12</f>
        <v>#REF!</v>
      </c>
      <c r="R18" s="81" t="e">
        <f aca="false">ROUND((Q18/100*Stammdaten!H$28)+Q18,0)</f>
        <v>#REF!</v>
      </c>
      <c r="S18" s="82" t="e">
        <f aca="false">R18-J18</f>
        <v>#REF!</v>
      </c>
      <c r="T18" s="6" t="s">
        <v>248</v>
      </c>
    </row>
    <row r="19" s="6" customFormat="true" ht="13.5" hidden="false" customHeight="false" outlineLevel="0" collapsed="false">
      <c r="A19" s="6" t="s">
        <v>234</v>
      </c>
      <c r="B19" s="66" t="s">
        <v>250</v>
      </c>
      <c r="C19" s="67" t="s">
        <v>251</v>
      </c>
      <c r="D19" s="68" t="s">
        <v>252</v>
      </c>
      <c r="E19" s="69" t="n">
        <v>44197</v>
      </c>
      <c r="F19" s="70" t="n">
        <v>44561</v>
      </c>
      <c r="G19" s="67" t="n">
        <f aca="false">IF(E19&lt;&gt;"",_xlfn.DAYS(F19,E19)+1,"")</f>
        <v>365</v>
      </c>
      <c r="H19" s="71" t="n">
        <v>88.98</v>
      </c>
      <c r="I19" s="72" t="n">
        <v>3</v>
      </c>
      <c r="J19" s="73" t="n">
        <v>270.67</v>
      </c>
      <c r="K19" s="74" t="n">
        <f aca="false">IF(E19&lt;&gt;"",DATEDIF(E19,F19,"m")+1,"")</f>
        <v>12</v>
      </c>
      <c r="L19" s="75" t="n">
        <f aca="false">IFERROR(J19*K19,"")-560</f>
        <v>2688.04</v>
      </c>
      <c r="M19" s="76" t="n">
        <f aca="false">_xlfn.xlookup(B19,'Pivot-Tabelle_Ablesung ista &amp; W'!A:A,'Pivot-Tabelle_Ablesung ista &amp; W'!B:B,"",0,1)</f>
        <v>56.901</v>
      </c>
      <c r="N19" s="77" t="n">
        <f aca="false">_xlfn.xlookup(B19,'Pivot-Tabelle_Ablesung ista &amp; W'!A:A,'Pivot-Tabelle_Ablesung ista &amp; W'!C:C,"",0,1)</f>
        <v>25.918</v>
      </c>
      <c r="O19" s="78" t="n">
        <f aca="false">_xlfn.xlookup(B19,'Pivot-Tabelle_Ablesung ista &amp; W'!A:A,'Pivot-Tabelle_Ablesung ista &amp; W'!D:D,"",0,1)</f>
        <v>3678</v>
      </c>
      <c r="P19" s="79" t="e">
        <f aca="false">#REF!</f>
        <v>#REF!</v>
      </c>
      <c r="Q19" s="80" t="e">
        <f aca="false">J19-P19/12</f>
        <v>#REF!</v>
      </c>
      <c r="R19" s="81" t="e">
        <f aca="false">ROUND((Q19/100*Stammdaten!H$28)+Q19,0)</f>
        <v>#REF!</v>
      </c>
      <c r="S19" s="82" t="e">
        <f aca="false">R19-J19</f>
        <v>#REF!</v>
      </c>
      <c r="T19" s="6" t="s">
        <v>251</v>
      </c>
    </row>
    <row r="20" s="6" customFormat="true" ht="13.5" hidden="false" customHeight="false" outlineLevel="0" collapsed="false">
      <c r="A20" s="6" t="s">
        <v>234</v>
      </c>
      <c r="B20" s="66" t="s">
        <v>253</v>
      </c>
      <c r="C20" s="67" t="s">
        <v>254</v>
      </c>
      <c r="D20" s="68" t="s">
        <v>255</v>
      </c>
      <c r="E20" s="69" t="n">
        <v>44197</v>
      </c>
      <c r="F20" s="70" t="n">
        <v>44561</v>
      </c>
      <c r="G20" s="67" t="n">
        <f aca="false">IF(E20&lt;&gt;"",_xlfn.DAYS(F20,E20)+1,"")</f>
        <v>365</v>
      </c>
      <c r="H20" s="71" t="n">
        <v>128.36</v>
      </c>
      <c r="I20" s="72" t="n">
        <v>6</v>
      </c>
      <c r="J20" s="73" t="n">
        <v>307.4</v>
      </c>
      <c r="K20" s="74" t="n">
        <f aca="false">IF(E20&lt;&gt;"",DATEDIF(E20,F20,"m")+1,"")</f>
        <v>12</v>
      </c>
      <c r="L20" s="75" t="n">
        <f aca="false">IFERROR(J20*K20,"")</f>
        <v>3688.8</v>
      </c>
      <c r="M20" s="76" t="n">
        <f aca="false">_xlfn.xlookup(B20,'Pivot-Tabelle_Ablesung ista &amp; W'!A:A,'Pivot-Tabelle_Ablesung ista &amp; W'!B:B,"",0,1)</f>
        <v>34.59</v>
      </c>
      <c r="N20" s="77" t="n">
        <f aca="false">_xlfn.xlookup(B20,'Pivot-Tabelle_Ablesung ista &amp; W'!A:A,'Pivot-Tabelle_Ablesung ista &amp; W'!C:C,"",0,1)</f>
        <v>18.27</v>
      </c>
      <c r="O20" s="78" t="n">
        <f aca="false">_xlfn.xlookup(B20,'Pivot-Tabelle_Ablesung ista &amp; W'!A:A,'Pivot-Tabelle_Ablesung ista &amp; W'!D:D,"",0,1)</f>
        <v>5601</v>
      </c>
      <c r="P20" s="79" t="e">
        <f aca="false">#REF!</f>
        <v>#REF!</v>
      </c>
      <c r="Q20" s="80" t="e">
        <f aca="false">J20-P20/12</f>
        <v>#REF!</v>
      </c>
      <c r="R20" s="81" t="e">
        <f aca="false">ROUND((Q20/100*Stammdaten!H$28)+Q20,0)</f>
        <v>#REF!</v>
      </c>
      <c r="S20" s="82" t="e">
        <f aca="false">R20-J20</f>
        <v>#REF!</v>
      </c>
      <c r="T20" s="6" t="s">
        <v>254</v>
      </c>
    </row>
    <row r="21" s="6" customFormat="true" ht="13.5" hidden="false" customHeight="false" outlineLevel="0" collapsed="false">
      <c r="A21" s="6" t="s">
        <v>256</v>
      </c>
      <c r="B21" s="66" t="s">
        <v>257</v>
      </c>
      <c r="C21" s="67" t="s">
        <v>258</v>
      </c>
      <c r="D21" s="68" t="s">
        <v>259</v>
      </c>
      <c r="E21" s="69" t="n">
        <v>44197</v>
      </c>
      <c r="F21" s="70" t="n">
        <v>44561</v>
      </c>
      <c r="G21" s="67" t="n">
        <f aca="false">IF(E21&lt;&gt;"",_xlfn.DAYS(F21,E21)+1,"")</f>
        <v>365</v>
      </c>
      <c r="H21" s="71" t="n">
        <v>64.41</v>
      </c>
      <c r="I21" s="72" t="n">
        <v>1</v>
      </c>
      <c r="J21" s="73" t="n">
        <v>121.33</v>
      </c>
      <c r="K21" s="74" t="n">
        <f aca="false">IF(E21&lt;&gt;"",DATEDIF(E21,F21,"m")+1,"")</f>
        <v>12</v>
      </c>
      <c r="L21" s="75" t="n">
        <f aca="false">IFERROR(J21*K21,"")</f>
        <v>1455.96</v>
      </c>
      <c r="M21" s="76" t="n">
        <f aca="false">_xlfn.xlookup(B21,'Pivot-Tabelle_Ablesung ista &amp; W'!A:A,'Pivot-Tabelle_Ablesung ista &amp; W'!B:B,"",0,1)</f>
        <v>14.8</v>
      </c>
      <c r="N21" s="77" t="n">
        <f aca="false">_xlfn.xlookup(B21,'Pivot-Tabelle_Ablesung ista &amp; W'!A:A,'Pivot-Tabelle_Ablesung ista &amp; W'!C:C,"",0,1)</f>
        <v>4.4</v>
      </c>
      <c r="O21" s="78" t="n">
        <f aca="false">_xlfn.xlookup(B21,'Pivot-Tabelle_Ablesung ista &amp; W'!A:A,'Pivot-Tabelle_Ablesung ista &amp; W'!D:D,"",0,1)</f>
        <v>4869</v>
      </c>
      <c r="P21" s="79" t="e">
        <f aca="false">#REF!</f>
        <v>#REF!</v>
      </c>
      <c r="Q21" s="80" t="e">
        <f aca="false">J21-P21/12</f>
        <v>#REF!</v>
      </c>
      <c r="R21" s="81" t="e">
        <f aca="false">ROUND((Q21/100*Stammdaten!H$28)+Q21,0)</f>
        <v>#REF!</v>
      </c>
      <c r="S21" s="82" t="e">
        <f aca="false">R21-J21</f>
        <v>#REF!</v>
      </c>
      <c r="T21" s="6" t="s">
        <v>258</v>
      </c>
    </row>
    <row r="22" s="6" customFormat="true" ht="13.5" hidden="false" customHeight="false" outlineLevel="0" collapsed="false">
      <c r="A22" s="6" t="s">
        <v>256</v>
      </c>
      <c r="B22" s="66" t="s">
        <v>260</v>
      </c>
      <c r="C22" s="67" t="s">
        <v>261</v>
      </c>
      <c r="D22" s="68" t="s">
        <v>262</v>
      </c>
      <c r="E22" s="69" t="n">
        <v>44197</v>
      </c>
      <c r="F22" s="70" t="n">
        <v>44561</v>
      </c>
      <c r="G22" s="67" t="n">
        <f aca="false">IF(E22&lt;&gt;"",_xlfn.DAYS(F22,E22)+1,"")</f>
        <v>365</v>
      </c>
      <c r="H22" s="71" t="n">
        <v>66.86</v>
      </c>
      <c r="I22" s="72" t="n">
        <v>5</v>
      </c>
      <c r="J22" s="73" t="n">
        <v>142.78</v>
      </c>
      <c r="K22" s="74" t="n">
        <f aca="false">IF(E22&lt;&gt;"",DATEDIF(E22,F22,"m")+1,"")</f>
        <v>12</v>
      </c>
      <c r="L22" s="75" t="n">
        <f aca="false">IFERROR(J22*K22,"")</f>
        <v>1713.36</v>
      </c>
      <c r="M22" s="76" t="n">
        <f aca="false">_xlfn.xlookup(B22,'Pivot-Tabelle_Ablesung ista &amp; W'!A:A,'Pivot-Tabelle_Ablesung ista &amp; W'!B:B,"",0,1)</f>
        <v>47.732</v>
      </c>
      <c r="N22" s="77" t="n">
        <f aca="false">_xlfn.xlookup(B22,'Pivot-Tabelle_Ablesung ista &amp; W'!A:A,'Pivot-Tabelle_Ablesung ista &amp; W'!C:C,"",0,1)</f>
        <v>19.281</v>
      </c>
      <c r="O22" s="78" t="n">
        <f aca="false">_xlfn.xlookup(B22,'Pivot-Tabelle_Ablesung ista &amp; W'!A:A,'Pivot-Tabelle_Ablesung ista &amp; W'!D:D,"",0,1)</f>
        <v>7165</v>
      </c>
      <c r="P22" s="79" t="e">
        <f aca="false">#REF!</f>
        <v>#REF!</v>
      </c>
      <c r="Q22" s="80" t="e">
        <f aca="false">J22-P22/12</f>
        <v>#REF!</v>
      </c>
      <c r="R22" s="81" t="e">
        <f aca="false">ROUND((Q22/100*Stammdaten!H$28)+Q22,0)</f>
        <v>#REF!</v>
      </c>
      <c r="S22" s="82" t="e">
        <f aca="false">R22-J22</f>
        <v>#REF!</v>
      </c>
      <c r="T22" s="6" t="s">
        <v>261</v>
      </c>
    </row>
    <row r="23" s="6" customFormat="true" ht="13.5" hidden="false" customHeight="false" outlineLevel="0" collapsed="false">
      <c r="A23" s="6" t="s">
        <v>256</v>
      </c>
      <c r="B23" s="66" t="s">
        <v>263</v>
      </c>
      <c r="C23" s="67" t="s">
        <v>264</v>
      </c>
      <c r="D23" s="68" t="s">
        <v>265</v>
      </c>
      <c r="E23" s="69" t="n">
        <v>44197</v>
      </c>
      <c r="F23" s="70" t="n">
        <v>44561</v>
      </c>
      <c r="G23" s="67" t="n">
        <f aca="false">IF(E23&lt;&gt;"",_xlfn.DAYS(F23,E23)+1,"")</f>
        <v>365</v>
      </c>
      <c r="H23" s="71" t="n">
        <v>89.37</v>
      </c>
      <c r="I23" s="72" t="n">
        <v>3.3</v>
      </c>
      <c r="J23" s="73" t="n">
        <v>191.82</v>
      </c>
      <c r="K23" s="74" t="n">
        <f aca="false">IF(E23&lt;&gt;"",DATEDIF(E23,F23,"m")+1,"")</f>
        <v>12</v>
      </c>
      <c r="L23" s="75" t="n">
        <f aca="false">IFERROR(J23*K23,"")</f>
        <v>2301.84</v>
      </c>
      <c r="M23" s="76" t="n">
        <f aca="false">_xlfn.xlookup(B23,'Pivot-Tabelle_Ablesung ista &amp; W'!A:A,'Pivot-Tabelle_Ablesung ista &amp; W'!B:B,"",0,1)</f>
        <v>38.665</v>
      </c>
      <c r="N23" s="77" t="n">
        <f aca="false">_xlfn.xlookup(B23,'Pivot-Tabelle_Ablesung ista &amp; W'!A:A,'Pivot-Tabelle_Ablesung ista &amp; W'!C:C,"",0,1)</f>
        <v>19.871</v>
      </c>
      <c r="O23" s="78" t="n">
        <f aca="false">_xlfn.xlookup(B23,'Pivot-Tabelle_Ablesung ista &amp; W'!A:A,'Pivot-Tabelle_Ablesung ista &amp; W'!D:D,"",0,1)</f>
        <v>4641</v>
      </c>
      <c r="P23" s="79" t="e">
        <f aca="false">#REF!</f>
        <v>#REF!</v>
      </c>
      <c r="Q23" s="80" t="e">
        <f aca="false">J23-P23/12</f>
        <v>#REF!</v>
      </c>
      <c r="R23" s="81" t="e">
        <f aca="false">ROUND((Q23/100*Stammdaten!H$28)+Q23,0)</f>
        <v>#REF!</v>
      </c>
      <c r="S23" s="82" t="e">
        <f aca="false">R23-J23</f>
        <v>#REF!</v>
      </c>
      <c r="T23" s="6" t="s">
        <v>264</v>
      </c>
    </row>
    <row r="24" s="6" customFormat="true" ht="13.5" hidden="false" customHeight="false" outlineLevel="0" collapsed="false">
      <c r="A24" s="6" t="s">
        <v>256</v>
      </c>
      <c r="B24" s="66" t="s">
        <v>266</v>
      </c>
      <c r="C24" s="67" t="s">
        <v>267</v>
      </c>
      <c r="D24" s="68" t="s">
        <v>268</v>
      </c>
      <c r="E24" s="69" t="n">
        <v>44197</v>
      </c>
      <c r="F24" s="70" t="n">
        <v>44561</v>
      </c>
      <c r="G24" s="67" t="n">
        <f aca="false">IF(E24&lt;&gt;"",_xlfn.DAYS(F24,E24)+1,"")</f>
        <v>365</v>
      </c>
      <c r="H24" s="71" t="n">
        <v>92.17</v>
      </c>
      <c r="I24" s="72" t="n">
        <v>3</v>
      </c>
      <c r="J24" s="73" t="n">
        <v>171.65</v>
      </c>
      <c r="K24" s="74" t="n">
        <f aca="false">IF(E24&lt;&gt;"",DATEDIF(E24,F24,"m")+1,"")</f>
        <v>12</v>
      </c>
      <c r="L24" s="75" t="n">
        <f aca="false">IFERROR(J24*K24,"")</f>
        <v>2059.8</v>
      </c>
      <c r="M24" s="76" t="n">
        <f aca="false">_xlfn.xlookup(B24,'Pivot-Tabelle_Ablesung ista &amp; W'!A:A,'Pivot-Tabelle_Ablesung ista &amp; W'!B:B,"",0,1)</f>
        <v>34.992</v>
      </c>
      <c r="N24" s="77" t="n">
        <f aca="false">_xlfn.xlookup(B24,'Pivot-Tabelle_Ablesung ista &amp; W'!A:A,'Pivot-Tabelle_Ablesung ista &amp; W'!C:C,"",0,1)</f>
        <v>11.467</v>
      </c>
      <c r="O24" s="78" t="n">
        <f aca="false">_xlfn.xlookup(B24,'Pivot-Tabelle_Ablesung ista &amp; W'!A:A,'Pivot-Tabelle_Ablesung ista &amp; W'!D:D,"",0,1)</f>
        <v>5007</v>
      </c>
      <c r="P24" s="79" t="e">
        <f aca="false">#REF!</f>
        <v>#REF!</v>
      </c>
      <c r="Q24" s="80" t="e">
        <f aca="false">J24-P24/12</f>
        <v>#REF!</v>
      </c>
      <c r="R24" s="81" t="e">
        <f aca="false">ROUND((Q24/100*Stammdaten!H$28)+Q24,0)</f>
        <v>#REF!</v>
      </c>
      <c r="S24" s="82" t="e">
        <f aca="false">R24-J24</f>
        <v>#REF!</v>
      </c>
      <c r="T24" s="6" t="s">
        <v>267</v>
      </c>
    </row>
    <row r="25" s="6" customFormat="true" ht="13.5" hidden="false" customHeight="false" outlineLevel="0" collapsed="false">
      <c r="A25" s="6" t="s">
        <v>256</v>
      </c>
      <c r="B25" s="66" t="s">
        <v>269</v>
      </c>
      <c r="C25" s="67" t="s">
        <v>270</v>
      </c>
      <c r="D25" s="68" t="s">
        <v>271</v>
      </c>
      <c r="E25" s="69" t="n">
        <v>44197</v>
      </c>
      <c r="F25" s="70" t="n">
        <v>44561</v>
      </c>
      <c r="G25" s="67" t="n">
        <f aca="false">IF(E25&lt;&gt;"",_xlfn.DAYS(F25,E25)+1,"")</f>
        <v>365</v>
      </c>
      <c r="H25" s="71" t="n">
        <v>92.19</v>
      </c>
      <c r="I25" s="72" t="n">
        <v>1</v>
      </c>
      <c r="J25" s="73" t="n">
        <v>194.53</v>
      </c>
      <c r="K25" s="74" t="n">
        <f aca="false">IF(E25&lt;&gt;"",DATEDIF(E25,F25,"m")+1,"")</f>
        <v>12</v>
      </c>
      <c r="L25" s="75" t="n">
        <f aca="false">IFERROR(J25*K25,"")</f>
        <v>2334.36</v>
      </c>
      <c r="M25" s="76" t="n">
        <f aca="false">_xlfn.xlookup(B25,'Pivot-Tabelle_Ablesung ista &amp; W'!A:A,'Pivot-Tabelle_Ablesung ista &amp; W'!B:B,"",0,1)</f>
        <v>50.185</v>
      </c>
      <c r="N25" s="77" t="n">
        <f aca="false">_xlfn.xlookup(B25,'Pivot-Tabelle_Ablesung ista &amp; W'!A:A,'Pivot-Tabelle_Ablesung ista &amp; W'!C:C,"",0,1)</f>
        <v>24.084</v>
      </c>
      <c r="O25" s="78" t="n">
        <f aca="false">_xlfn.xlookup(B25,'Pivot-Tabelle_Ablesung ista &amp; W'!A:A,'Pivot-Tabelle_Ablesung ista &amp; W'!D:D,"",0,1)</f>
        <v>2891</v>
      </c>
      <c r="P25" s="79" t="e">
        <f aca="false">#REF!</f>
        <v>#REF!</v>
      </c>
      <c r="Q25" s="80" t="e">
        <f aca="false">J25-P25/12</f>
        <v>#REF!</v>
      </c>
      <c r="R25" s="81" t="e">
        <f aca="false">ROUND((Q25/100*Stammdaten!H$28)+Q25,0)</f>
        <v>#REF!</v>
      </c>
      <c r="S25" s="82" t="e">
        <f aca="false">R25-J25</f>
        <v>#REF!</v>
      </c>
      <c r="T25" s="6" t="s">
        <v>270</v>
      </c>
    </row>
    <row r="26" s="6" customFormat="true" ht="13.5" hidden="false" customHeight="false" outlineLevel="0" collapsed="false">
      <c r="A26" s="6" t="s">
        <v>256</v>
      </c>
      <c r="B26" s="66" t="s">
        <v>272</v>
      </c>
      <c r="C26" s="67" t="s">
        <v>273</v>
      </c>
      <c r="D26" s="68" t="s">
        <v>274</v>
      </c>
      <c r="E26" s="69" t="n">
        <v>44197</v>
      </c>
      <c r="F26" s="70" t="n">
        <v>44561</v>
      </c>
      <c r="G26" s="67" t="n">
        <f aca="false">IF(E26&lt;&gt;"",_xlfn.DAYS(F26,E26)+1,"")</f>
        <v>365</v>
      </c>
      <c r="H26" s="71" t="n">
        <v>110.15</v>
      </c>
      <c r="I26" s="72" t="n">
        <v>1</v>
      </c>
      <c r="J26" s="73" t="n">
        <v>218.66</v>
      </c>
      <c r="K26" s="74" t="n">
        <f aca="false">IF(E26&lt;&gt;"",DATEDIF(E26,F26,"m")+1,"")</f>
        <v>12</v>
      </c>
      <c r="L26" s="75" t="n">
        <f aca="false">IFERROR(J26*K26,"")</f>
        <v>2623.92</v>
      </c>
      <c r="M26" s="76" t="n">
        <f aca="false">_xlfn.xlookup(B26,'Pivot-Tabelle_Ablesung ista &amp; W'!A:A,'Pivot-Tabelle_Ablesung ista &amp; W'!B:B,"",0,1)</f>
        <v>73.589</v>
      </c>
      <c r="N26" s="77" t="n">
        <f aca="false">_xlfn.xlookup(B26,'Pivot-Tabelle_Ablesung ista &amp; W'!A:A,'Pivot-Tabelle_Ablesung ista &amp; W'!C:C,"",0,1)</f>
        <v>24.32</v>
      </c>
      <c r="O26" s="78" t="n">
        <f aca="false">_xlfn.xlookup(B26,'Pivot-Tabelle_Ablesung ista &amp; W'!A:A,'Pivot-Tabelle_Ablesung ista &amp; W'!D:D,"",0,1)</f>
        <v>14655</v>
      </c>
      <c r="P26" s="79"/>
      <c r="Q26" s="80"/>
      <c r="R26" s="81"/>
      <c r="S26" s="82"/>
      <c r="T26" s="6" t="s">
        <v>273</v>
      </c>
    </row>
    <row r="27" s="6" customFormat="true" ht="13.5" hidden="false" customHeight="false" outlineLevel="0" collapsed="false">
      <c r="A27" s="6" t="s">
        <v>256</v>
      </c>
      <c r="B27" s="66" t="s">
        <v>275</v>
      </c>
      <c r="C27" s="67" t="s">
        <v>276</v>
      </c>
      <c r="D27" s="68" t="s">
        <v>277</v>
      </c>
      <c r="E27" s="69" t="n">
        <v>44197</v>
      </c>
      <c r="F27" s="70" t="n">
        <v>44561</v>
      </c>
      <c r="G27" s="67" t="n">
        <f aca="false">IF(E27&lt;&gt;"",_xlfn.DAYS(F27,E27)+1,"")</f>
        <v>365</v>
      </c>
      <c r="H27" s="71" t="n">
        <v>195.84</v>
      </c>
      <c r="I27" s="72" t="n">
        <v>3</v>
      </c>
      <c r="J27" s="73" t="n">
        <v>330.46</v>
      </c>
      <c r="K27" s="74" t="n">
        <f aca="false">IF(E27&lt;&gt;"",DATEDIF(E27,F27,"m")+1,"")</f>
        <v>12</v>
      </c>
      <c r="L27" s="75" t="n">
        <f aca="false">IFERROR(J27*K27,"")</f>
        <v>3965.52</v>
      </c>
      <c r="M27" s="76" t="n">
        <f aca="false">_xlfn.xlookup(B27,'Pivot-Tabelle_Ablesung ista &amp; W'!A:A,'Pivot-Tabelle_Ablesung ista &amp; W'!B:B,"",0,1)</f>
        <v>94.586</v>
      </c>
      <c r="N27" s="77" t="n">
        <f aca="false">_xlfn.xlookup(B27,'Pivot-Tabelle_Ablesung ista &amp; W'!A:A,'Pivot-Tabelle_Ablesung ista &amp; W'!C:C,"",0,1)</f>
        <v>37.79</v>
      </c>
      <c r="O27" s="78" t="n">
        <f aca="false">_xlfn.xlookup(B27,'Pivot-Tabelle_Ablesung ista &amp; W'!A:A,'Pivot-Tabelle_Ablesung ista &amp; W'!D:D,"",0,1)</f>
        <v>5000</v>
      </c>
      <c r="P27" s="79" t="e">
        <f aca="false">#REF!</f>
        <v>#REF!</v>
      </c>
      <c r="Q27" s="80" t="e">
        <f aca="false">J27-P27/12</f>
        <v>#REF!</v>
      </c>
      <c r="R27" s="81" t="e">
        <f aca="false">ROUND((Q27/100*Stammdaten!H$28)+Q27,0)</f>
        <v>#REF!</v>
      </c>
      <c r="S27" s="82" t="e">
        <f aca="false">R27-J27</f>
        <v>#REF!</v>
      </c>
      <c r="T27" s="6" t="s">
        <v>276</v>
      </c>
    </row>
    <row r="28" s="6" customFormat="true" ht="13.5" hidden="false" customHeight="false" outlineLevel="0" collapsed="false">
      <c r="A28" s="6" t="s">
        <v>256</v>
      </c>
      <c r="B28" s="66" t="s">
        <v>278</v>
      </c>
      <c r="C28" s="67" t="s">
        <v>279</v>
      </c>
      <c r="D28" s="68" t="s">
        <v>280</v>
      </c>
      <c r="E28" s="69" t="n">
        <v>44197</v>
      </c>
      <c r="F28" s="70" t="n">
        <v>44561</v>
      </c>
      <c r="G28" s="67" t="n">
        <f aca="false">IF(E28&lt;&gt;"",_xlfn.DAYS(F28,E28)+1,"")</f>
        <v>365</v>
      </c>
      <c r="H28" s="71" t="n">
        <v>45.07</v>
      </c>
      <c r="I28" s="72" t="n">
        <v>5.5</v>
      </c>
      <c r="J28" s="73" t="n">
        <v>83.69</v>
      </c>
      <c r="K28" s="74" t="n">
        <f aca="false">IF(E28&lt;&gt;"",DATEDIF(E28,F28,"m")+1,"")</f>
        <v>12</v>
      </c>
      <c r="L28" s="75" t="n">
        <f aca="false">IFERROR(J28*K28,"")</f>
        <v>1004.28</v>
      </c>
      <c r="M28" s="76" t="n">
        <f aca="false">_xlfn.xlookup(B28,'Pivot-Tabelle_Ablesung ista &amp; W'!A:A,'Pivot-Tabelle_Ablesung ista &amp; W'!B:B,"",0,1)</f>
        <v>15.631</v>
      </c>
      <c r="N28" s="77" t="n">
        <f aca="false">_xlfn.xlookup(B28,'Pivot-Tabelle_Ablesung ista &amp; W'!A:A,'Pivot-Tabelle_Ablesung ista &amp; W'!C:C,"",0,1)</f>
        <v>8.123</v>
      </c>
      <c r="O28" s="78" t="n">
        <f aca="false">_xlfn.xlookup(B28,'Pivot-Tabelle_Ablesung ista &amp; W'!A:A,'Pivot-Tabelle_Ablesung ista &amp; W'!D:D,"",0,1)</f>
        <v>1054</v>
      </c>
      <c r="P28" s="79" t="e">
        <f aca="false">#REF!</f>
        <v>#REF!</v>
      </c>
      <c r="Q28" s="80" t="e">
        <f aca="false">J28-P28/12</f>
        <v>#REF!</v>
      </c>
      <c r="R28" s="81" t="e">
        <f aca="false">ROUND((Q28/100*Stammdaten!H$28)+Q28,0)</f>
        <v>#REF!</v>
      </c>
      <c r="S28" s="82" t="e">
        <f aca="false">R28-J28</f>
        <v>#REF!</v>
      </c>
      <c r="T28" s="6" t="s">
        <v>279</v>
      </c>
    </row>
    <row r="29" s="6" customFormat="true" ht="13.5" hidden="false" customHeight="false" outlineLevel="0" collapsed="false">
      <c r="A29" s="6" t="s">
        <v>256</v>
      </c>
      <c r="B29" s="66" t="s">
        <v>281</v>
      </c>
      <c r="C29" s="67" t="s">
        <v>282</v>
      </c>
      <c r="D29" s="68" t="s">
        <v>283</v>
      </c>
      <c r="E29" s="69" t="n">
        <v>44197</v>
      </c>
      <c r="F29" s="70" t="n">
        <v>44377</v>
      </c>
      <c r="G29" s="67" t="n">
        <f aca="false">IF(E29&lt;&gt;"",_xlfn.DAYS(F29,E29)+1,"")</f>
        <v>181</v>
      </c>
      <c r="H29" s="71" t="n">
        <v>44.61</v>
      </c>
      <c r="I29" s="72" t="n">
        <v>6</v>
      </c>
      <c r="J29" s="73" t="n">
        <v>93.8</v>
      </c>
      <c r="K29" s="74" t="n">
        <f aca="false">IF(E29&lt;&gt;"",DATEDIF(E29,F29,"m")+1,"")</f>
        <v>6</v>
      </c>
      <c r="L29" s="75" t="n">
        <f aca="false">IFERROR(J29*K29,"")</f>
        <v>562.8</v>
      </c>
      <c r="M29" s="76" t="n">
        <f aca="false">_xlfn.xlookup(B29,'Pivot-Tabelle_Ablesung ista &amp; W'!A:A,'Pivot-Tabelle_Ablesung ista &amp; W'!B:B,"",0,1)</f>
        <v>13.097</v>
      </c>
      <c r="N29" s="77" t="n">
        <f aca="false">_xlfn.xlookup(B29,'Pivot-Tabelle_Ablesung ista &amp; W'!A:A,'Pivot-Tabelle_Ablesung ista &amp; W'!C:C,"",0,1)</f>
        <v>6.982</v>
      </c>
      <c r="O29" s="78" t="n">
        <f aca="false">_xlfn.xlookup(B29,'Pivot-Tabelle_Ablesung ista &amp; W'!A:A,'Pivot-Tabelle_Ablesung ista &amp; W'!D:D,"",0,1)</f>
        <v>708</v>
      </c>
      <c r="P29" s="79" t="e">
        <f aca="false">#REF!</f>
        <v>#REF!</v>
      </c>
      <c r="Q29" s="80" t="e">
        <f aca="false">J29-P29/12</f>
        <v>#REF!</v>
      </c>
      <c r="R29" s="81" t="e">
        <f aca="false">ROUND((Q29/100*Stammdaten!H$28)+Q29,0)</f>
        <v>#REF!</v>
      </c>
      <c r="S29" s="82" t="e">
        <f aca="false">R29-J29</f>
        <v>#REF!</v>
      </c>
      <c r="T29" s="6" t="s">
        <v>282</v>
      </c>
    </row>
    <row r="30" s="6" customFormat="true" ht="13.5" hidden="false" customHeight="false" outlineLevel="0" collapsed="false">
      <c r="A30" s="6" t="s">
        <v>256</v>
      </c>
      <c r="B30" s="66" t="s">
        <v>284</v>
      </c>
      <c r="C30" s="85" t="s">
        <v>282</v>
      </c>
      <c r="D30" s="68" t="s">
        <v>285</v>
      </c>
      <c r="E30" s="69" t="n">
        <v>44378</v>
      </c>
      <c r="F30" s="70" t="n">
        <v>44561</v>
      </c>
      <c r="G30" s="67" t="n">
        <f aca="false">IF(E30&lt;&gt;"",_xlfn.DAYS(F30,E30)+1,"")</f>
        <v>184</v>
      </c>
      <c r="H30" s="71" t="n">
        <v>44.61</v>
      </c>
      <c r="I30" s="72" t="n">
        <v>2</v>
      </c>
      <c r="J30" s="73" t="n">
        <v>93.8</v>
      </c>
      <c r="K30" s="74" t="n">
        <f aca="false">IF(E30&lt;&gt;"",DATEDIF(E30,F30,"m")+1,"")</f>
        <v>6</v>
      </c>
      <c r="L30" s="75" t="n">
        <f aca="false">IFERROR(J30*K30,"")</f>
        <v>562.8</v>
      </c>
      <c r="M30" s="76" t="n">
        <f aca="false">_xlfn.xlookup(B30,'Pivot-Tabelle_Ablesung ista &amp; W'!A:A,'Pivot-Tabelle_Ablesung ista &amp; W'!B:B,"",0,1)</f>
        <v>13.956</v>
      </c>
      <c r="N30" s="77" t="n">
        <f aca="false">_xlfn.xlookup(B30,'Pivot-Tabelle_Ablesung ista &amp; W'!A:A,'Pivot-Tabelle_Ablesung ista &amp; W'!C:C,"",0,1)</f>
        <v>6.40599999999999</v>
      </c>
      <c r="O30" s="78" t="n">
        <f aca="false">_xlfn.xlookup(B30,'Pivot-Tabelle_Ablesung ista &amp; W'!A:A,'Pivot-Tabelle_Ablesung ista &amp; W'!D:D,"",0,1)</f>
        <v>738</v>
      </c>
      <c r="P30" s="79"/>
      <c r="Q30" s="80"/>
      <c r="R30" s="81"/>
      <c r="S30" s="82"/>
    </row>
    <row r="31" s="6" customFormat="true" ht="13.5" hidden="false" customHeight="false" outlineLevel="0" collapsed="false">
      <c r="A31" s="6" t="s">
        <v>256</v>
      </c>
      <c r="B31" s="66" t="s">
        <v>286</v>
      </c>
      <c r="C31" s="67" t="s">
        <v>287</v>
      </c>
      <c r="D31" s="68" t="s">
        <v>288</v>
      </c>
      <c r="E31" s="69" t="n">
        <v>44197</v>
      </c>
      <c r="F31" s="70" t="n">
        <v>44286</v>
      </c>
      <c r="G31" s="67" t="n">
        <f aca="false">IF(E31&lt;&gt;"",_xlfn.DAYS(F31,E31)+1,"")</f>
        <v>90</v>
      </c>
      <c r="H31" s="71" t="n">
        <v>131.59</v>
      </c>
      <c r="I31" s="72" t="n">
        <v>2</v>
      </c>
      <c r="J31" s="73" t="n">
        <v>190.79</v>
      </c>
      <c r="K31" s="74" t="n">
        <f aca="false">IF(E31&lt;&gt;"",DATEDIF(E31,F31,"m")+1,"")</f>
        <v>3</v>
      </c>
      <c r="L31" s="75" t="n">
        <f aca="false">IFERROR(J31*K31,"")</f>
        <v>572.37</v>
      </c>
      <c r="M31" s="76" t="n">
        <f aca="false">_xlfn.xlookup(B31,'Pivot-Tabelle_Ablesung ista &amp; W'!A:A,'Pivot-Tabelle_Ablesung ista &amp; W'!B:B,"",0,1)</f>
        <v>3.066</v>
      </c>
      <c r="N31" s="77" t="n">
        <f aca="false">_xlfn.xlookup(B31,'Pivot-Tabelle_Ablesung ista &amp; W'!A:A,'Pivot-Tabelle_Ablesung ista &amp; W'!C:C,"",0,1)</f>
        <v>2.455</v>
      </c>
      <c r="O31" s="78" t="n">
        <f aca="false">_xlfn.xlookup(B31,'Pivot-Tabelle_Ablesung ista &amp; W'!A:A,'Pivot-Tabelle_Ablesung ista &amp; W'!D:D,"",0,1)</f>
        <v>3664</v>
      </c>
      <c r="P31" s="79" t="e">
        <f aca="false">#REF!</f>
        <v>#REF!</v>
      </c>
      <c r="Q31" s="80" t="e">
        <f aca="false">J31-P31/12</f>
        <v>#REF!</v>
      </c>
      <c r="R31" s="81" t="e">
        <f aca="false">ROUND((Q31/100*Stammdaten!H$28)+Q31,0)</f>
        <v>#REF!</v>
      </c>
      <c r="S31" s="82" t="e">
        <f aca="false">R31-J31</f>
        <v>#REF!</v>
      </c>
      <c r="T31" s="6" t="s">
        <v>287</v>
      </c>
    </row>
    <row r="32" s="6" customFormat="true" ht="13.5" hidden="false" customHeight="false" outlineLevel="0" collapsed="false">
      <c r="A32" s="6" t="s">
        <v>256</v>
      </c>
      <c r="B32" s="66" t="s">
        <v>289</v>
      </c>
      <c r="C32" s="85" t="s">
        <v>287</v>
      </c>
      <c r="D32" s="68" t="s">
        <v>290</v>
      </c>
      <c r="E32" s="69" t="n">
        <v>44287</v>
      </c>
      <c r="F32" s="70" t="n">
        <v>44561</v>
      </c>
      <c r="G32" s="67" t="n">
        <f aca="false">IF(E32&lt;&gt;"",_xlfn.DAYS(F32,E32)+1,"")</f>
        <v>275</v>
      </c>
      <c r="H32" s="71" t="n">
        <v>131.59</v>
      </c>
      <c r="I32" s="72" t="n">
        <v>3</v>
      </c>
      <c r="J32" s="73" t="n">
        <v>190.79</v>
      </c>
      <c r="K32" s="74" t="n">
        <f aca="false">IF(E32&lt;&gt;"",DATEDIF(E32,F32,"m")+1,"")</f>
        <v>9</v>
      </c>
      <c r="L32" s="75" t="n">
        <f aca="false">IFERROR(J32*K32,"")</f>
        <v>1717.11</v>
      </c>
      <c r="M32" s="76" t="n">
        <f aca="false">_xlfn.xlookup(B32,'Pivot-Tabelle_Ablesung ista &amp; W'!A:A,'Pivot-Tabelle_Ablesung ista &amp; W'!B:B,"",0,1)</f>
        <v>43.414</v>
      </c>
      <c r="N32" s="77" t="n">
        <f aca="false">_xlfn.xlookup(B32,'Pivot-Tabelle_Ablesung ista &amp; W'!A:A,'Pivot-Tabelle_Ablesung ista &amp; W'!C:C,"",0,1)</f>
        <v>14.06</v>
      </c>
      <c r="O32" s="78" t="n">
        <f aca="false">_xlfn.xlookup(B32,'Pivot-Tabelle_Ablesung ista &amp; W'!A:A,'Pivot-Tabelle_Ablesung ista &amp; W'!D:D,"",0,1)</f>
        <v>6326</v>
      </c>
      <c r="P32" s="79"/>
      <c r="Q32" s="80"/>
      <c r="R32" s="81"/>
      <c r="S32" s="82"/>
    </row>
    <row r="33" s="6" customFormat="true" ht="13.5" hidden="false" customHeight="false" outlineLevel="0" collapsed="false">
      <c r="A33" s="6" t="s">
        <v>291</v>
      </c>
      <c r="B33" s="66" t="s">
        <v>292</v>
      </c>
      <c r="C33" s="67" t="s">
        <v>293</v>
      </c>
      <c r="D33" s="68" t="s">
        <v>294</v>
      </c>
      <c r="E33" s="69" t="n">
        <v>44197</v>
      </c>
      <c r="F33" s="70" t="n">
        <v>44561</v>
      </c>
      <c r="G33" s="67" t="n">
        <f aca="false">IF(E33&lt;&gt;"",_xlfn.DAYS(F33,E33)+1,"")</f>
        <v>365</v>
      </c>
      <c r="H33" s="71" t="n">
        <v>142.08</v>
      </c>
      <c r="I33" s="72" t="n">
        <v>2</v>
      </c>
      <c r="J33" s="73" t="n">
        <v>416.79</v>
      </c>
      <c r="K33" s="74" t="n">
        <f aca="false">IF(E33&lt;&gt;"",DATEDIF(E33,F33,"m")+1,"")</f>
        <v>12</v>
      </c>
      <c r="L33" s="75" t="n">
        <f aca="false">IFERROR(J33*K33,"")</f>
        <v>5001.48</v>
      </c>
      <c r="M33" s="76" t="n">
        <f aca="false">_xlfn.xlookup(B33,'Pivot-Tabelle_Ablesung ista &amp; W'!A:A,'Pivot-Tabelle_Ablesung ista &amp; W'!B:B,"",0,1)</f>
        <v>86.817</v>
      </c>
      <c r="N33" s="77" t="n">
        <f aca="false">_xlfn.xlookup(B33,'Pivot-Tabelle_Ablesung ista &amp; W'!A:A,'Pivot-Tabelle_Ablesung ista &amp; W'!C:C,"",0,1)</f>
        <v>27.337</v>
      </c>
      <c r="O33" s="78" t="n">
        <f aca="false">_xlfn.xlookup(B33,'Pivot-Tabelle_Ablesung ista &amp; W'!A:A,'Pivot-Tabelle_Ablesung ista &amp; W'!D:D,"",0,1)</f>
        <v>22044</v>
      </c>
      <c r="P33" s="79" t="e">
        <f aca="false">#REF!</f>
        <v>#REF!</v>
      </c>
      <c r="Q33" s="80" t="e">
        <f aca="false">J33-P33/12</f>
        <v>#REF!</v>
      </c>
      <c r="R33" s="81" t="e">
        <f aca="false">ROUND((Q33/100*Stammdaten!H$28)+Q33,0)</f>
        <v>#REF!</v>
      </c>
      <c r="S33" s="82" t="e">
        <f aca="false">R33-J33</f>
        <v>#REF!</v>
      </c>
      <c r="T33" s="6" t="s">
        <v>293</v>
      </c>
    </row>
    <row r="34" s="6" customFormat="true" ht="13.5" hidden="false" customHeight="false" outlineLevel="0" collapsed="false">
      <c r="A34" s="6" t="s">
        <v>291</v>
      </c>
      <c r="B34" s="66" t="s">
        <v>295</v>
      </c>
      <c r="C34" s="67" t="s">
        <v>296</v>
      </c>
      <c r="D34" s="68" t="s">
        <v>297</v>
      </c>
      <c r="E34" s="69" t="n">
        <v>44197</v>
      </c>
      <c r="F34" s="70" t="n">
        <v>44561</v>
      </c>
      <c r="G34" s="67" t="n">
        <f aca="false">IF(E34&lt;&gt;"",_xlfn.DAYS(F34,E34)+1,"")</f>
        <v>365</v>
      </c>
      <c r="H34" s="71" t="n">
        <v>116.06</v>
      </c>
      <c r="I34" s="72" t="n">
        <v>4</v>
      </c>
      <c r="J34" s="73" t="n">
        <v>336.21</v>
      </c>
      <c r="K34" s="74" t="n">
        <f aca="false">IF(E34&lt;&gt;"",DATEDIF(E34,F34,"m")+1,"")</f>
        <v>12</v>
      </c>
      <c r="L34" s="75" t="n">
        <f aca="false">IFERROR(J34*K34,"")-350</f>
        <v>3684.52</v>
      </c>
      <c r="M34" s="76" t="n">
        <f aca="false">_xlfn.xlookup(B34,'Pivot-Tabelle_Ablesung ista &amp; W'!A:A,'Pivot-Tabelle_Ablesung ista &amp; W'!B:B,"",0,1)</f>
        <v>74.773</v>
      </c>
      <c r="N34" s="77" t="n">
        <f aca="false">_xlfn.xlookup(B34,'Pivot-Tabelle_Ablesung ista &amp; W'!A:A,'Pivot-Tabelle_Ablesung ista &amp; W'!C:C,"",0,1)</f>
        <v>38.319</v>
      </c>
      <c r="O34" s="78" t="n">
        <f aca="false">_xlfn.xlookup(B34,'Pivot-Tabelle_Ablesung ista &amp; W'!A:A,'Pivot-Tabelle_Ablesung ista &amp; W'!D:D,"",0,1)</f>
        <v>8848</v>
      </c>
      <c r="P34" s="79" t="e">
        <f aca="false">#REF!</f>
        <v>#REF!</v>
      </c>
      <c r="Q34" s="80" t="e">
        <f aca="false">J34-P34/12</f>
        <v>#REF!</v>
      </c>
      <c r="R34" s="81" t="e">
        <f aca="false">ROUND((Q34/100*Stammdaten!H$28)+Q34,0)</f>
        <v>#REF!</v>
      </c>
      <c r="S34" s="82" t="e">
        <f aca="false">R34-J34</f>
        <v>#REF!</v>
      </c>
      <c r="T34" s="6" t="s">
        <v>296</v>
      </c>
    </row>
    <row r="35" s="6" customFormat="true" ht="13.5" hidden="false" customHeight="false" outlineLevel="0" collapsed="false">
      <c r="A35" s="6" t="s">
        <v>291</v>
      </c>
      <c r="B35" s="66" t="s">
        <v>298</v>
      </c>
      <c r="C35" s="67" t="s">
        <v>299</v>
      </c>
      <c r="D35" s="68" t="s">
        <v>300</v>
      </c>
      <c r="E35" s="69" t="n">
        <v>44197</v>
      </c>
      <c r="F35" s="70" t="n">
        <v>44561</v>
      </c>
      <c r="G35" s="67" t="n">
        <f aca="false">IF(E35&lt;&gt;"",_xlfn.DAYS(F35,E35)+1,"")</f>
        <v>365</v>
      </c>
      <c r="H35" s="71" t="n">
        <v>115.51</v>
      </c>
      <c r="I35" s="72" t="n">
        <v>4</v>
      </c>
      <c r="J35" s="73" t="n">
        <v>247.77</v>
      </c>
      <c r="K35" s="74" t="n">
        <f aca="false">IF(E35&lt;&gt;"",DATEDIF(E35,F35,"m")+1,"")</f>
        <v>12</v>
      </c>
      <c r="L35" s="75" t="n">
        <f aca="false">IFERROR(J35*K35,"")</f>
        <v>2973.24</v>
      </c>
      <c r="M35" s="76" t="n">
        <f aca="false">_xlfn.xlookup(B35,'Pivot-Tabelle_Ablesung ista &amp; W'!A:A,'Pivot-Tabelle_Ablesung ista &amp; W'!B:B,"",0,1)</f>
        <v>67.584</v>
      </c>
      <c r="N35" s="77" t="n">
        <f aca="false">_xlfn.xlookup(B35,'Pivot-Tabelle_Ablesung ista &amp; W'!A:A,'Pivot-Tabelle_Ablesung ista &amp; W'!C:C,"",0,1)</f>
        <v>30.071</v>
      </c>
      <c r="O35" s="78" t="n">
        <f aca="false">_xlfn.xlookup(B35,'Pivot-Tabelle_Ablesung ista &amp; W'!A:A,'Pivot-Tabelle_Ablesung ista &amp; W'!D:D,"",0,1)</f>
        <v>7533</v>
      </c>
      <c r="P35" s="79" t="e">
        <f aca="false">#REF!</f>
        <v>#REF!</v>
      </c>
      <c r="Q35" s="80" t="e">
        <f aca="false">J35-P35/12</f>
        <v>#REF!</v>
      </c>
      <c r="R35" s="81" t="e">
        <f aca="false">ROUND((Q35/100*Stammdaten!H$28)+Q35,0)</f>
        <v>#REF!</v>
      </c>
      <c r="S35" s="82" t="e">
        <f aca="false">R35-J35</f>
        <v>#REF!</v>
      </c>
      <c r="T35" s="6" t="s">
        <v>299</v>
      </c>
    </row>
    <row r="36" s="6" customFormat="true" ht="13.5" hidden="false" customHeight="false" outlineLevel="0" collapsed="false">
      <c r="A36" s="6" t="s">
        <v>291</v>
      </c>
      <c r="B36" s="66" t="s">
        <v>301</v>
      </c>
      <c r="C36" s="67" t="s">
        <v>302</v>
      </c>
      <c r="D36" s="68" t="s">
        <v>303</v>
      </c>
      <c r="E36" s="69" t="n">
        <v>44197</v>
      </c>
      <c r="F36" s="70" t="n">
        <v>44561</v>
      </c>
      <c r="G36" s="67" t="n">
        <f aca="false">IF(E36&lt;&gt;"",_xlfn.DAYS(F36,E36)+1,"")</f>
        <v>365</v>
      </c>
      <c r="H36" s="71" t="n">
        <v>142.13</v>
      </c>
      <c r="I36" s="72" t="n">
        <v>6</v>
      </c>
      <c r="J36" s="73" t="n">
        <v>470.39</v>
      </c>
      <c r="K36" s="74" t="n">
        <f aca="false">IF(E36&lt;&gt;"",DATEDIF(E36,F36,"m")+1,"")</f>
        <v>12</v>
      </c>
      <c r="L36" s="75" t="n">
        <f aca="false">IFERROR(J36*K36,"")</f>
        <v>5644.68</v>
      </c>
      <c r="M36" s="76" t="n">
        <f aca="false">_xlfn.xlookup(B36,'Pivot-Tabelle_Ablesung ista &amp; W'!A:A,'Pivot-Tabelle_Ablesung ista &amp; W'!B:B,"",0,1)</f>
        <v>61.208</v>
      </c>
      <c r="N36" s="77" t="n">
        <f aca="false">_xlfn.xlookup(B36,'Pivot-Tabelle_Ablesung ista &amp; W'!A:A,'Pivot-Tabelle_Ablesung ista &amp; W'!C:C,"",0,1)</f>
        <v>28.118</v>
      </c>
      <c r="O36" s="78" t="n">
        <f aca="false">_xlfn.xlookup(B36,'Pivot-Tabelle_Ablesung ista &amp; W'!A:A,'Pivot-Tabelle_Ablesung ista &amp; W'!D:D,"",0,1)</f>
        <v>25057</v>
      </c>
      <c r="P36" s="79"/>
      <c r="Q36" s="80"/>
      <c r="R36" s="81"/>
      <c r="S36" s="82"/>
      <c r="T36" s="6" t="s">
        <v>302</v>
      </c>
    </row>
    <row r="37" s="6" customFormat="true" ht="13.5" hidden="false" customHeight="false" outlineLevel="0" collapsed="false">
      <c r="B37" s="66"/>
      <c r="C37" s="67"/>
      <c r="D37" s="68"/>
      <c r="E37" s="69"/>
      <c r="F37" s="70"/>
      <c r="G37" s="67"/>
      <c r="H37" s="71" t="s">
        <v>304</v>
      </c>
      <c r="I37" s="86"/>
      <c r="J37" s="73"/>
      <c r="K37" s="74" t="str">
        <f aca="false">IF(E37&lt;&gt;"",DATEDIF(E37,F37,"m")+1,"")</f>
        <v/>
      </c>
      <c r="L37" s="75"/>
      <c r="M37" s="76" t="str">
        <f aca="false">IFERROR(VLOOKUP(B37,'Pivot-Tabelle_Ablesung ista &amp; W'!A:D,2,0),"")</f>
        <v/>
      </c>
      <c r="N37" s="77"/>
      <c r="O37" s="78"/>
      <c r="P37" s="79"/>
      <c r="Q37" s="80"/>
      <c r="R37" s="81"/>
      <c r="S37" s="82"/>
    </row>
    <row r="38" customFormat="false" ht="13.5" hidden="false" customHeight="false" outlineLevel="0" collapsed="false">
      <c r="A38" s="6"/>
      <c r="B38" s="66"/>
      <c r="C38" s="67"/>
      <c r="D38" s="68"/>
      <c r="E38" s="69"/>
      <c r="F38" s="70"/>
      <c r="G38" s="67"/>
      <c r="H38" s="71"/>
      <c r="I38" s="86" t="str">
        <f aca="false">IFERROR(VLOOKUP(B38,Belegung!A:P,16,0),"")</f>
        <v/>
      </c>
      <c r="J38" s="73"/>
      <c r="K38" s="74" t="str">
        <f aca="false">IF(E38&lt;&gt;"",DATEDIF(E38,F38,"m")+1,"")</f>
        <v/>
      </c>
      <c r="L38" s="75" t="str">
        <f aca="false">IFERROR(J38*K38,"")</f>
        <v/>
      </c>
      <c r="M38" s="76" t="str">
        <f aca="false">IFERROR(VLOOKUP(B38,'Pivot-Tabelle_Ablesung ista &amp; W'!A:D,2,0),"")</f>
        <v/>
      </c>
      <c r="N38" s="77" t="str">
        <f aca="false">IFERROR(VLOOKUP(B38,'Pivot-Tabelle_Ablesung ista &amp; W'!A:D,3,0),"")</f>
        <v/>
      </c>
      <c r="O38" s="78" t="str">
        <f aca="false">IFERROR(VLOOKUP(B38,'Pivot-Tabelle_Ablesung ista &amp; W'!A:D,4,0),"")</f>
        <v/>
      </c>
      <c r="P38" s="79"/>
      <c r="Q38" s="80"/>
      <c r="R38" s="81"/>
      <c r="S38" s="82"/>
      <c r="T38" s="6"/>
    </row>
    <row r="39" customFormat="false" ht="14.25" hidden="false" customHeight="false" outlineLevel="0" collapsed="false">
      <c r="A39" s="87" t="s">
        <v>305</v>
      </c>
      <c r="B39" s="88"/>
      <c r="C39" s="89"/>
      <c r="D39" s="90"/>
      <c r="E39" s="91"/>
      <c r="F39" s="92"/>
      <c r="G39" s="89" t="n">
        <f aca="false">SUM(G3:G38)</f>
        <v>10585</v>
      </c>
      <c r="H39" s="93" t="n">
        <f aca="false">SUM(H3:H38)</f>
        <v>2988.38</v>
      </c>
      <c r="I39" s="94" t="n">
        <f aca="false">SUM(I3:I38)</f>
        <v>106.3</v>
      </c>
      <c r="J39" s="95" t="n">
        <f aca="false">SUM(J3:J38)</f>
        <v>6918.64</v>
      </c>
      <c r="K39" s="96" t="n">
        <f aca="false">SUM(K3:K38)</f>
        <v>348</v>
      </c>
      <c r="L39" s="97" t="n">
        <f aca="false">SUM(L3:L38)</f>
        <v>73310.12</v>
      </c>
      <c r="M39" s="98" t="n">
        <f aca="false">SUM(M3:M38)</f>
        <v>1394.919</v>
      </c>
      <c r="N39" s="99" t="n">
        <f aca="false">SUM(N3:N38)</f>
        <v>625.686</v>
      </c>
      <c r="O39" s="100" t="n">
        <f aca="false">SUM(O3:O38)</f>
        <v>215408</v>
      </c>
      <c r="P39" s="79" t="e">
        <f aca="false">SUM(P3:P35)</f>
        <v>#REF!</v>
      </c>
      <c r="Q39" s="80" t="e">
        <f aca="false">SUM(Q3:Q35)</f>
        <v>#REF!</v>
      </c>
      <c r="R39" s="81" t="e">
        <f aca="false">SUM(R3:R35)</f>
        <v>#REF!</v>
      </c>
      <c r="S39" s="82" t="e">
        <f aca="false">SUM(S3:S35)</f>
        <v>#REF!</v>
      </c>
      <c r="T39" s="6"/>
    </row>
    <row r="40" customFormat="false" ht="14.25" hidden="false" customHeight="false" outlineLevel="0" collapsed="false"/>
    <row r="41" customFormat="false" ht="13.5" hidden="false" customHeight="false" outlineLevel="0" collapsed="false">
      <c r="J41" s="30"/>
    </row>
    <row r="42" customFormat="false" ht="13.5" hidden="false" customHeight="false" outlineLevel="0" collapsed="false">
      <c r="A42" s="1"/>
    </row>
    <row r="43" customFormat="false" ht="13.5" hidden="false" customHeight="false" outlineLevel="0" collapsed="false">
      <c r="D43" s="6" t="n">
        <f aca="false">DATEDIF(E3,F3,"m")+1</f>
        <v>12</v>
      </c>
    </row>
  </sheetData>
  <mergeCells count="2">
    <mergeCell ref="J1:L1"/>
    <mergeCell ref="Q1:S1"/>
  </mergeCells>
  <printOptions headings="false" gridLines="false" gridLinesSet="true" horizontalCentered="false" verticalCentered="false"/>
  <pageMargins left="0.25" right="0.25" top="0.75" bottom="0.75" header="0.511811023622047" footer="0.511811023622047"/>
  <pageSetup paperSize="9" scale="100" fitToWidth="1" fitToHeight="1" pageOrder="overThenDown" orientation="landscape"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Q62"/>
  <sheetViews>
    <sheetView showFormulas="false" showGridLines="true" showRowColHeaders="true" showZeros="true" rightToLeft="false" tabSelected="false" showOutlineSymbols="true" defaultGridColor="true" view="normal" topLeftCell="B1" colorId="64" zoomScale="115" zoomScaleNormal="115" zoomScalePageLayoutView="100" workbookViewId="0">
      <pane xSplit="0" ySplit="1" topLeftCell="A31" activePane="bottomLeft" state="frozen"/>
      <selection pane="topLeft" activeCell="B1" activeCellId="0" sqref="B1"/>
      <selection pane="bottomLeft" activeCell="P36" activeCellId="1" sqref="G4:G37 P36"/>
    </sheetView>
  </sheetViews>
  <sheetFormatPr defaultColWidth="10.56640625" defaultRowHeight="13.5" zeroHeight="false" outlineLevelRow="0" outlineLevelCol="0"/>
  <cols>
    <col collapsed="false" customWidth="true" hidden="false" outlineLevel="0" max="2" min="2" style="0" width="6.75"/>
    <col collapsed="false" customWidth="true" hidden="false" outlineLevel="0" max="3" min="3" style="0" width="28.27"/>
    <col collapsed="false" customWidth="true" hidden="false" outlineLevel="0" max="15" min="4" style="0" width="6"/>
    <col collapsed="false" customWidth="true" hidden="false" outlineLevel="0" max="16" min="16" style="0" width="14.33"/>
    <col collapsed="false" customWidth="true" hidden="false" outlineLevel="0" max="65" min="17" style="0" width="11"/>
  </cols>
  <sheetData>
    <row r="1" customFormat="false" ht="13.5" hidden="false" customHeight="false" outlineLevel="0" collapsed="false">
      <c r="A1" s="101" t="s">
        <v>306</v>
      </c>
      <c r="B1" s="101" t="s">
        <v>307</v>
      </c>
      <c r="C1" s="101" t="s">
        <v>191</v>
      </c>
      <c r="D1" s="101" t="s">
        <v>308</v>
      </c>
      <c r="E1" s="101" t="s">
        <v>309</v>
      </c>
      <c r="F1" s="101" t="s">
        <v>310</v>
      </c>
      <c r="G1" s="101" t="s">
        <v>311</v>
      </c>
      <c r="H1" s="101" t="s">
        <v>312</v>
      </c>
      <c r="I1" s="101" t="s">
        <v>313</v>
      </c>
      <c r="J1" s="101" t="s">
        <v>314</v>
      </c>
      <c r="K1" s="101" t="s">
        <v>315</v>
      </c>
      <c r="L1" s="101" t="s">
        <v>316</v>
      </c>
      <c r="M1" s="101" t="s">
        <v>317</v>
      </c>
      <c r="N1" s="101" t="s">
        <v>318</v>
      </c>
      <c r="O1" s="101" t="s">
        <v>319</v>
      </c>
      <c r="P1" s="102" t="s">
        <v>320</v>
      </c>
    </row>
    <row r="2" customFormat="false" ht="13.5" hidden="false" customHeight="false" outlineLevel="0" collapsed="false">
      <c r="A2" s="103" t="s">
        <v>204</v>
      </c>
      <c r="B2" s="69" t="s">
        <v>205</v>
      </c>
      <c r="C2" s="69" t="s">
        <v>321</v>
      </c>
      <c r="D2" s="104" t="n">
        <v>1.5</v>
      </c>
      <c r="E2" s="104" t="n">
        <v>1.5</v>
      </c>
      <c r="F2" s="104" t="n">
        <v>1.5</v>
      </c>
      <c r="G2" s="104" t="n">
        <v>1.5</v>
      </c>
      <c r="H2" s="104" t="n">
        <v>1.5</v>
      </c>
      <c r="I2" s="104" t="n">
        <v>1.5</v>
      </c>
      <c r="J2" s="104" t="n">
        <v>1.5</v>
      </c>
      <c r="K2" s="104" t="n">
        <v>1.5</v>
      </c>
      <c r="L2" s="104" t="n">
        <v>1.5</v>
      </c>
      <c r="M2" s="104" t="n">
        <v>1.5</v>
      </c>
      <c r="N2" s="104" t="n">
        <v>1.5</v>
      </c>
      <c r="O2" s="104" t="n">
        <v>1.5</v>
      </c>
      <c r="P2" s="105" t="n">
        <f aca="false">AVERAGE(D2:O2)</f>
        <v>1.5</v>
      </c>
    </row>
    <row r="3" customFormat="false" ht="13.5" hidden="false" customHeight="false" outlineLevel="0" collapsed="false">
      <c r="A3" s="69" t="s">
        <v>207</v>
      </c>
      <c r="B3" s="69" t="s">
        <v>208</v>
      </c>
      <c r="C3" s="69" t="s">
        <v>322</v>
      </c>
      <c r="D3" s="104" t="n">
        <v>1</v>
      </c>
      <c r="E3" s="104" t="n">
        <v>1</v>
      </c>
      <c r="F3" s="104" t="n">
        <v>1</v>
      </c>
      <c r="G3" s="104"/>
      <c r="H3" s="104"/>
      <c r="I3" s="104"/>
      <c r="J3" s="104"/>
      <c r="K3" s="104"/>
      <c r="L3" s="104"/>
      <c r="M3" s="104"/>
      <c r="N3" s="104"/>
      <c r="O3" s="104"/>
      <c r="P3" s="105" t="n">
        <f aca="false">AVERAGE(D3:O3)</f>
        <v>1</v>
      </c>
    </row>
    <row r="4" s="6" customFormat="true" ht="13.5" hidden="false" customHeight="false" outlineLevel="0" collapsed="false">
      <c r="A4" s="103" t="s">
        <v>210</v>
      </c>
      <c r="B4" s="69" t="s">
        <v>208</v>
      </c>
      <c r="C4" s="69" t="s">
        <v>323</v>
      </c>
      <c r="D4" s="104"/>
      <c r="E4" s="104"/>
      <c r="F4" s="104"/>
      <c r="G4" s="104" t="n">
        <v>2</v>
      </c>
      <c r="H4" s="104" t="n">
        <v>2</v>
      </c>
      <c r="I4" s="104" t="n">
        <v>2</v>
      </c>
      <c r="J4" s="104" t="n">
        <v>2</v>
      </c>
      <c r="K4" s="104" t="n">
        <v>2</v>
      </c>
      <c r="L4" s="104" t="n">
        <v>2</v>
      </c>
      <c r="M4" s="104" t="n">
        <v>2</v>
      </c>
      <c r="N4" s="104" t="n">
        <v>2</v>
      </c>
      <c r="O4" s="104" t="n">
        <v>2</v>
      </c>
      <c r="P4" s="105" t="n">
        <f aca="false">AVERAGE(D4:O4)</f>
        <v>2</v>
      </c>
    </row>
    <row r="5" customFormat="false" ht="13.5" hidden="false" customHeight="false" outlineLevel="0" collapsed="false">
      <c r="A5" s="69" t="s">
        <v>212</v>
      </c>
      <c r="B5" s="69" t="s">
        <v>213</v>
      </c>
      <c r="C5" s="69" t="s">
        <v>324</v>
      </c>
      <c r="D5" s="104" t="n">
        <v>2</v>
      </c>
      <c r="E5" s="104" t="n">
        <v>2</v>
      </c>
      <c r="F5" s="104" t="n">
        <v>2</v>
      </c>
      <c r="G5" s="104" t="n">
        <v>2</v>
      </c>
      <c r="H5" s="104" t="n">
        <v>2</v>
      </c>
      <c r="I5" s="104" t="n">
        <v>2</v>
      </c>
      <c r="J5" s="104"/>
      <c r="K5" s="104"/>
      <c r="L5" s="104"/>
      <c r="M5" s="104"/>
      <c r="N5" s="104"/>
      <c r="O5" s="104"/>
      <c r="P5" s="105" t="n">
        <f aca="false">AVERAGE(D5:O5)</f>
        <v>2</v>
      </c>
    </row>
    <row r="6" s="6" customFormat="true" ht="13.5" hidden="false" customHeight="false" outlineLevel="0" collapsed="false">
      <c r="A6" s="103" t="s">
        <v>215</v>
      </c>
      <c r="B6" s="69" t="s">
        <v>213</v>
      </c>
      <c r="C6" s="69" t="s">
        <v>325</v>
      </c>
      <c r="D6" s="104"/>
      <c r="E6" s="104"/>
      <c r="F6" s="104"/>
      <c r="G6" s="104"/>
      <c r="H6" s="104"/>
      <c r="I6" s="104"/>
      <c r="J6" s="104" t="n">
        <v>2</v>
      </c>
      <c r="K6" s="104" t="n">
        <v>2</v>
      </c>
      <c r="L6" s="104" t="n">
        <v>2</v>
      </c>
      <c r="M6" s="104" t="n">
        <v>2</v>
      </c>
      <c r="N6" s="104" t="n">
        <v>2</v>
      </c>
      <c r="O6" s="104" t="n">
        <v>2</v>
      </c>
      <c r="P6" s="105" t="n">
        <f aca="false">AVERAGE(D6:O6)</f>
        <v>2</v>
      </c>
    </row>
    <row r="7" customFormat="false" ht="13.5" hidden="false" customHeight="false" outlineLevel="0" collapsed="false">
      <c r="A7" s="69" t="s">
        <v>217</v>
      </c>
      <c r="B7" s="69" t="s">
        <v>218</v>
      </c>
      <c r="C7" s="69" t="s">
        <v>326</v>
      </c>
      <c r="D7" s="104" t="n">
        <v>1</v>
      </c>
      <c r="E7" s="104" t="n">
        <v>1</v>
      </c>
      <c r="F7" s="104" t="n">
        <v>1</v>
      </c>
      <c r="G7" s="104" t="n">
        <v>1</v>
      </c>
      <c r="H7" s="104" t="n">
        <v>1</v>
      </c>
      <c r="I7" s="104" t="n">
        <v>1</v>
      </c>
      <c r="J7" s="104" t="n">
        <v>1</v>
      </c>
      <c r="K7" s="104" t="n">
        <v>1</v>
      </c>
      <c r="L7" s="104" t="n">
        <v>1</v>
      </c>
      <c r="M7" s="104" t="n">
        <v>1</v>
      </c>
      <c r="N7" s="104" t="n">
        <v>1</v>
      </c>
      <c r="O7" s="104" t="n">
        <v>1</v>
      </c>
      <c r="P7" s="105" t="n">
        <f aca="false">AVERAGE(D7:O7)</f>
        <v>1</v>
      </c>
    </row>
    <row r="8" s="109" customFormat="true" ht="13.5" hidden="false" customHeight="false" outlineLevel="0" collapsed="false">
      <c r="A8" s="106" t="s">
        <v>220</v>
      </c>
      <c r="B8" s="107" t="s">
        <v>221</v>
      </c>
      <c r="C8" s="107" t="s">
        <v>327</v>
      </c>
      <c r="D8" s="108" t="n">
        <v>1</v>
      </c>
      <c r="E8" s="108" t="n">
        <v>1</v>
      </c>
      <c r="F8" s="108" t="n">
        <v>1</v>
      </c>
      <c r="G8" s="108" t="n">
        <v>1</v>
      </c>
      <c r="H8" s="108" t="n">
        <v>1</v>
      </c>
      <c r="I8" s="108" t="n">
        <v>1</v>
      </c>
      <c r="J8" s="108" t="n">
        <v>1</v>
      </c>
      <c r="K8" s="108" t="n">
        <v>1</v>
      </c>
      <c r="L8" s="108" t="n">
        <v>1</v>
      </c>
      <c r="M8" s="108"/>
      <c r="N8" s="108"/>
      <c r="O8" s="108"/>
      <c r="P8" s="105" t="n">
        <f aca="false">AVERAGE(D8:O8)</f>
        <v>1</v>
      </c>
    </row>
    <row r="9" s="109" customFormat="true" ht="13.5" hidden="false" customHeight="false" outlineLevel="0" collapsed="false">
      <c r="A9" s="106" t="s">
        <v>223</v>
      </c>
      <c r="B9" s="107" t="s">
        <v>221</v>
      </c>
      <c r="C9" s="107" t="s">
        <v>328</v>
      </c>
      <c r="D9" s="108"/>
      <c r="E9" s="108"/>
      <c r="F9" s="108"/>
      <c r="G9" s="108"/>
      <c r="H9" s="108"/>
      <c r="I9" s="108"/>
      <c r="J9" s="108"/>
      <c r="K9" s="108"/>
      <c r="L9" s="108"/>
      <c r="M9" s="108" t="n">
        <v>1</v>
      </c>
      <c r="N9" s="108" t="n">
        <v>1</v>
      </c>
      <c r="O9" s="108" t="n">
        <v>1</v>
      </c>
      <c r="P9" s="105" t="n">
        <f aca="false">AVERAGE(D9:O9)</f>
        <v>1</v>
      </c>
    </row>
    <row r="10" customFormat="false" ht="13.5" hidden="false" customHeight="false" outlineLevel="0" collapsed="false">
      <c r="A10" s="107" t="s">
        <v>225</v>
      </c>
      <c r="B10" s="69" t="s">
        <v>226</v>
      </c>
      <c r="C10" s="69" t="s">
        <v>329</v>
      </c>
      <c r="D10" s="104" t="n">
        <v>2</v>
      </c>
      <c r="E10" s="104" t="n">
        <v>2</v>
      </c>
      <c r="F10" s="104" t="n">
        <v>2</v>
      </c>
      <c r="G10" s="104" t="n">
        <v>2</v>
      </c>
      <c r="H10" s="104" t="n">
        <v>2</v>
      </c>
      <c r="I10" s="104" t="n">
        <v>2</v>
      </c>
      <c r="J10" s="104" t="n">
        <v>2</v>
      </c>
      <c r="K10" s="104" t="n">
        <v>2</v>
      </c>
      <c r="L10" s="104" t="n">
        <v>2</v>
      </c>
      <c r="M10" s="104" t="n">
        <v>2</v>
      </c>
      <c r="N10" s="104" t="n">
        <v>2</v>
      </c>
      <c r="O10" s="104" t="n">
        <v>2</v>
      </c>
      <c r="P10" s="105" t="n">
        <f aca="false">AVERAGE(D10:O10)</f>
        <v>2</v>
      </c>
    </row>
    <row r="11" customFormat="false" ht="13.5" hidden="false" customHeight="false" outlineLevel="0" collapsed="false">
      <c r="A11" s="107" t="s">
        <v>228</v>
      </c>
      <c r="B11" s="69" t="s">
        <v>229</v>
      </c>
      <c r="C11" s="69" t="s">
        <v>330</v>
      </c>
      <c r="D11" s="104" t="n">
        <v>1</v>
      </c>
      <c r="E11" s="104" t="n">
        <v>1</v>
      </c>
      <c r="F11" s="104" t="n">
        <v>1</v>
      </c>
      <c r="G11" s="104" t="n">
        <v>1</v>
      </c>
      <c r="H11" s="104" t="n">
        <v>1</v>
      </c>
      <c r="I11" s="104" t="n">
        <v>1</v>
      </c>
      <c r="J11" s="104" t="n">
        <v>1</v>
      </c>
      <c r="K11" s="104" t="n">
        <v>1</v>
      </c>
      <c r="L11" s="104" t="n">
        <v>1</v>
      </c>
      <c r="M11" s="104" t="n">
        <v>1</v>
      </c>
      <c r="N11" s="104" t="n">
        <v>1</v>
      </c>
      <c r="O11" s="104" t="n">
        <v>1</v>
      </c>
      <c r="P11" s="105" t="n">
        <f aca="false">AVERAGE(D11:O11)</f>
        <v>1</v>
      </c>
    </row>
    <row r="12" s="6" customFormat="true" ht="13.5" hidden="false" customHeight="false" outlineLevel="0" collapsed="false">
      <c r="A12" s="69" t="s">
        <v>231</v>
      </c>
      <c r="B12" s="104" t="s">
        <v>232</v>
      </c>
      <c r="C12" s="69" t="s">
        <v>331</v>
      </c>
      <c r="D12" s="108" t="n">
        <v>1</v>
      </c>
      <c r="E12" s="108" t="n">
        <v>1</v>
      </c>
      <c r="F12" s="108" t="n">
        <v>1</v>
      </c>
      <c r="G12" s="108" t="n">
        <v>1</v>
      </c>
      <c r="H12" s="108" t="n">
        <v>1</v>
      </c>
      <c r="I12" s="108" t="n">
        <v>1</v>
      </c>
      <c r="J12" s="108" t="n">
        <v>1</v>
      </c>
      <c r="K12" s="104" t="n">
        <v>1</v>
      </c>
      <c r="L12" s="104" t="n">
        <v>1</v>
      </c>
      <c r="M12" s="104" t="n">
        <v>1</v>
      </c>
      <c r="N12" s="104" t="n">
        <v>1</v>
      </c>
      <c r="O12" s="104" t="n">
        <v>1</v>
      </c>
      <c r="P12" s="105" t="n">
        <f aca="false">AVERAGE(D12:O12)</f>
        <v>1</v>
      </c>
    </row>
    <row r="13" s="109" customFormat="true" ht="13.5" hidden="false" customHeight="false" outlineLevel="0" collapsed="false">
      <c r="A13" s="103" t="s">
        <v>235</v>
      </c>
      <c r="B13" s="69" t="s">
        <v>332</v>
      </c>
      <c r="C13" s="69" t="s">
        <v>333</v>
      </c>
      <c r="D13" s="108" t="n">
        <v>4</v>
      </c>
      <c r="E13" s="108" t="n">
        <v>4</v>
      </c>
      <c r="F13" s="108" t="n">
        <v>4</v>
      </c>
      <c r="G13" s="108" t="n">
        <v>4</v>
      </c>
      <c r="H13" s="108" t="n">
        <v>4</v>
      </c>
      <c r="I13" s="108" t="n">
        <v>4</v>
      </c>
      <c r="J13" s="108" t="n">
        <v>4</v>
      </c>
      <c r="K13" s="104" t="n">
        <v>4</v>
      </c>
      <c r="L13" s="104" t="n">
        <v>4</v>
      </c>
      <c r="M13" s="104" t="n">
        <v>4</v>
      </c>
      <c r="N13" s="104" t="n">
        <v>4</v>
      </c>
      <c r="O13" s="104" t="n">
        <v>4</v>
      </c>
      <c r="P13" s="105" t="n">
        <f aca="false">AVERAGE(D13:O13)</f>
        <v>4</v>
      </c>
    </row>
    <row r="14" customFormat="false" ht="13.5" hidden="false" customHeight="false" outlineLevel="0" collapsed="false">
      <c r="A14" s="69" t="s">
        <v>238</v>
      </c>
      <c r="B14" s="69" t="s">
        <v>239</v>
      </c>
      <c r="C14" s="69" t="s">
        <v>334</v>
      </c>
      <c r="D14" s="108" t="n">
        <v>1</v>
      </c>
      <c r="E14" s="108" t="n">
        <v>1</v>
      </c>
      <c r="F14" s="108" t="n">
        <v>1</v>
      </c>
      <c r="G14" s="108" t="n">
        <v>1</v>
      </c>
      <c r="H14" s="108" t="n">
        <v>1</v>
      </c>
      <c r="I14" s="108" t="n">
        <v>1</v>
      </c>
      <c r="J14" s="108" t="n">
        <v>1</v>
      </c>
      <c r="K14" s="104" t="n">
        <v>1</v>
      </c>
      <c r="L14" s="104" t="n">
        <v>1</v>
      </c>
      <c r="M14" s="104" t="n">
        <v>1</v>
      </c>
      <c r="N14" s="104" t="n">
        <v>1</v>
      </c>
      <c r="O14" s="104" t="n">
        <v>1</v>
      </c>
      <c r="P14" s="105" t="n">
        <f aca="false">AVERAGE(D14:O14)</f>
        <v>1</v>
      </c>
    </row>
    <row r="15" customFormat="false" ht="13.5" hidden="false" customHeight="false" outlineLevel="0" collapsed="false">
      <c r="A15" s="69" t="s">
        <v>241</v>
      </c>
      <c r="B15" s="69" t="s">
        <v>242</v>
      </c>
      <c r="C15" s="69" t="s">
        <v>335</v>
      </c>
      <c r="D15" s="104" t="n">
        <v>2</v>
      </c>
      <c r="E15" s="104" t="n">
        <v>2</v>
      </c>
      <c r="F15" s="104" t="n">
        <v>2</v>
      </c>
      <c r="G15" s="104" t="n">
        <v>2</v>
      </c>
      <c r="H15" s="104" t="n">
        <v>2</v>
      </c>
      <c r="I15" s="104" t="n">
        <v>2</v>
      </c>
      <c r="J15" s="104" t="n">
        <v>2</v>
      </c>
      <c r="K15" s="104" t="n">
        <v>2</v>
      </c>
      <c r="L15" s="104" t="n">
        <v>2</v>
      </c>
      <c r="M15" s="104" t="n">
        <v>2</v>
      </c>
      <c r="N15" s="104" t="n">
        <v>2</v>
      </c>
      <c r="O15" s="104" t="n">
        <v>2</v>
      </c>
      <c r="P15" s="105" t="n">
        <f aca="false">AVERAGE(D15:O15)</f>
        <v>2</v>
      </c>
    </row>
    <row r="16" s="6" customFormat="true" ht="13.5" hidden="false" customHeight="false" outlineLevel="0" collapsed="false">
      <c r="A16" s="103" t="s">
        <v>244</v>
      </c>
      <c r="B16" s="103" t="s">
        <v>336</v>
      </c>
      <c r="C16" s="69" t="s">
        <v>337</v>
      </c>
      <c r="D16" s="104" t="n">
        <v>2</v>
      </c>
      <c r="E16" s="104" t="n">
        <v>2</v>
      </c>
      <c r="F16" s="104" t="n">
        <v>2</v>
      </c>
      <c r="G16" s="104" t="n">
        <v>2</v>
      </c>
      <c r="H16" s="104" t="n">
        <v>2</v>
      </c>
      <c r="I16" s="104" t="n">
        <v>2</v>
      </c>
      <c r="J16" s="104" t="n">
        <v>2</v>
      </c>
      <c r="K16" s="104" t="n">
        <v>2</v>
      </c>
      <c r="L16" s="104" t="n">
        <v>2</v>
      </c>
      <c r="M16" s="104" t="n">
        <v>2</v>
      </c>
      <c r="N16" s="104" t="n">
        <v>2</v>
      </c>
      <c r="O16" s="104" t="n">
        <v>2</v>
      </c>
      <c r="P16" s="105" t="n">
        <f aca="false">AVERAGE(D16:O16)</f>
        <v>2</v>
      </c>
    </row>
    <row r="17" customFormat="false" ht="13.5" hidden="false" customHeight="false" outlineLevel="0" collapsed="false">
      <c r="A17" s="69" t="s">
        <v>247</v>
      </c>
      <c r="B17" s="69" t="s">
        <v>248</v>
      </c>
      <c r="C17" s="69" t="s">
        <v>338</v>
      </c>
      <c r="D17" s="104" t="n">
        <v>2.5</v>
      </c>
      <c r="E17" s="104" t="n">
        <v>2.5</v>
      </c>
      <c r="F17" s="104" t="n">
        <v>2.5</v>
      </c>
      <c r="G17" s="104" t="n">
        <v>2.5</v>
      </c>
      <c r="H17" s="104" t="n">
        <v>2.5</v>
      </c>
      <c r="I17" s="104" t="n">
        <v>2.5</v>
      </c>
      <c r="J17" s="104" t="n">
        <v>2.5</v>
      </c>
      <c r="K17" s="104" t="n">
        <v>2.5</v>
      </c>
      <c r="L17" s="104" t="n">
        <v>2.5</v>
      </c>
      <c r="M17" s="104" t="n">
        <v>2.5</v>
      </c>
      <c r="N17" s="104" t="n">
        <v>2.5</v>
      </c>
      <c r="O17" s="104" t="n">
        <v>2.5</v>
      </c>
      <c r="P17" s="105" t="n">
        <f aca="false">AVERAGE(D17:O17)</f>
        <v>2.5</v>
      </c>
    </row>
    <row r="18" customFormat="false" ht="13.5" hidden="false" customHeight="false" outlineLevel="0" collapsed="false">
      <c r="A18" s="69" t="s">
        <v>250</v>
      </c>
      <c r="B18" s="69" t="s">
        <v>251</v>
      </c>
      <c r="C18" s="69" t="s">
        <v>339</v>
      </c>
      <c r="D18" s="104" t="n">
        <v>2</v>
      </c>
      <c r="E18" s="104" t="n">
        <v>2</v>
      </c>
      <c r="F18" s="104" t="n">
        <v>2</v>
      </c>
      <c r="G18" s="104" t="n">
        <v>2</v>
      </c>
      <c r="H18" s="104" t="n">
        <v>2</v>
      </c>
      <c r="I18" s="104" t="n">
        <v>2</v>
      </c>
      <c r="J18" s="104" t="n">
        <v>2</v>
      </c>
      <c r="K18" s="104" t="n">
        <v>2</v>
      </c>
      <c r="L18" s="104" t="n">
        <v>2</v>
      </c>
      <c r="M18" s="104" t="n">
        <v>2</v>
      </c>
      <c r="N18" s="104" t="n">
        <v>2</v>
      </c>
      <c r="O18" s="104" t="n">
        <v>2</v>
      </c>
      <c r="P18" s="105" t="n">
        <f aca="false">AVERAGE(D18:O18)</f>
        <v>2</v>
      </c>
    </row>
    <row r="19" customFormat="false" ht="13.5" hidden="false" customHeight="false" outlineLevel="0" collapsed="false">
      <c r="A19" s="69" t="s">
        <v>253</v>
      </c>
      <c r="B19" s="69" t="s">
        <v>254</v>
      </c>
      <c r="C19" s="69" t="s">
        <v>340</v>
      </c>
      <c r="D19" s="104" t="n">
        <v>3</v>
      </c>
      <c r="E19" s="104" t="n">
        <v>3</v>
      </c>
      <c r="F19" s="104" t="n">
        <v>3</v>
      </c>
      <c r="G19" s="104" t="n">
        <v>3</v>
      </c>
      <c r="H19" s="104" t="n">
        <v>3</v>
      </c>
      <c r="I19" s="104" t="n">
        <v>3</v>
      </c>
      <c r="J19" s="104" t="n">
        <v>3</v>
      </c>
      <c r="K19" s="104" t="n">
        <v>3</v>
      </c>
      <c r="L19" s="104" t="n">
        <v>3</v>
      </c>
      <c r="M19" s="104" t="n">
        <v>3</v>
      </c>
      <c r="N19" s="104" t="n">
        <v>3</v>
      </c>
      <c r="O19" s="104" t="n">
        <v>3</v>
      </c>
      <c r="P19" s="105" t="n">
        <f aca="false">AVERAGE(D19:O19)</f>
        <v>3</v>
      </c>
    </row>
    <row r="20" customFormat="false" ht="13.5" hidden="false" customHeight="false" outlineLevel="0" collapsed="false">
      <c r="A20" s="69" t="s">
        <v>257</v>
      </c>
      <c r="B20" s="69" t="s">
        <v>258</v>
      </c>
      <c r="C20" s="69" t="s">
        <v>341</v>
      </c>
      <c r="D20" s="104" t="n">
        <v>1</v>
      </c>
      <c r="E20" s="104" t="n">
        <v>1</v>
      </c>
      <c r="F20" s="104" t="n">
        <v>1</v>
      </c>
      <c r="G20" s="104" t="n">
        <v>1</v>
      </c>
      <c r="H20" s="104" t="n">
        <v>1</v>
      </c>
      <c r="I20" s="104" t="n">
        <v>1</v>
      </c>
      <c r="J20" s="104" t="n">
        <v>1</v>
      </c>
      <c r="K20" s="104" t="n">
        <v>1</v>
      </c>
      <c r="L20" s="104" t="n">
        <v>1</v>
      </c>
      <c r="M20" s="104" t="n">
        <v>1</v>
      </c>
      <c r="N20" s="104" t="n">
        <v>1</v>
      </c>
      <c r="O20" s="104" t="n">
        <v>1</v>
      </c>
      <c r="P20" s="105" t="n">
        <f aca="false">AVERAGE(D20:O20)</f>
        <v>1</v>
      </c>
    </row>
    <row r="21" customFormat="false" ht="13.5" hidden="false" customHeight="false" outlineLevel="0" collapsed="false">
      <c r="A21" s="69" t="s">
        <v>260</v>
      </c>
      <c r="B21" s="69" t="s">
        <v>261</v>
      </c>
      <c r="C21" s="69" t="s">
        <v>342</v>
      </c>
      <c r="D21" s="104" t="n">
        <v>2</v>
      </c>
      <c r="E21" s="104" t="n">
        <v>2</v>
      </c>
      <c r="F21" s="104" t="n">
        <v>2</v>
      </c>
      <c r="G21" s="104" t="n">
        <v>2</v>
      </c>
      <c r="H21" s="104" t="n">
        <v>2</v>
      </c>
      <c r="I21" s="104" t="n">
        <v>2</v>
      </c>
      <c r="J21" s="104" t="n">
        <v>1</v>
      </c>
      <c r="K21" s="104" t="n">
        <v>1</v>
      </c>
      <c r="L21" s="104" t="n">
        <v>1</v>
      </c>
      <c r="M21" s="104" t="n">
        <v>1</v>
      </c>
      <c r="N21" s="104" t="n">
        <v>1</v>
      </c>
      <c r="O21" s="104" t="n">
        <v>1</v>
      </c>
      <c r="P21" s="105" t="n">
        <f aca="false">AVERAGE(D21:O21)</f>
        <v>1.5</v>
      </c>
    </row>
    <row r="22" customFormat="false" ht="13.5" hidden="false" customHeight="false" outlineLevel="0" collapsed="false">
      <c r="A22" s="69" t="s">
        <v>263</v>
      </c>
      <c r="B22" s="69" t="s">
        <v>264</v>
      </c>
      <c r="C22" s="69" t="s">
        <v>343</v>
      </c>
      <c r="D22" s="104" t="n">
        <v>3</v>
      </c>
      <c r="E22" s="104" t="n">
        <v>3</v>
      </c>
      <c r="F22" s="104" t="n">
        <v>3</v>
      </c>
      <c r="G22" s="104" t="n">
        <v>3</v>
      </c>
      <c r="H22" s="104" t="n">
        <v>3</v>
      </c>
      <c r="I22" s="104" t="n">
        <v>3</v>
      </c>
      <c r="J22" s="104" t="n">
        <v>3</v>
      </c>
      <c r="K22" s="104" t="n">
        <v>3</v>
      </c>
      <c r="L22" s="104" t="n">
        <v>3</v>
      </c>
      <c r="M22" s="104" t="n">
        <v>3</v>
      </c>
      <c r="N22" s="104" t="n">
        <v>3</v>
      </c>
      <c r="O22" s="104" t="n">
        <v>3</v>
      </c>
      <c r="P22" s="105" t="n">
        <f aca="false">AVERAGE(D22:O22)</f>
        <v>3</v>
      </c>
    </row>
    <row r="23" customFormat="false" ht="13.5" hidden="false" customHeight="false" outlineLevel="0" collapsed="false">
      <c r="A23" s="69" t="s">
        <v>266</v>
      </c>
      <c r="B23" s="69" t="s">
        <v>267</v>
      </c>
      <c r="C23" s="69" t="s">
        <v>344</v>
      </c>
      <c r="D23" s="104" t="n">
        <v>2</v>
      </c>
      <c r="E23" s="104" t="n">
        <v>2</v>
      </c>
      <c r="F23" s="104" t="n">
        <v>2</v>
      </c>
      <c r="G23" s="104" t="n">
        <v>2</v>
      </c>
      <c r="H23" s="104" t="n">
        <v>2</v>
      </c>
      <c r="I23" s="104" t="n">
        <v>2</v>
      </c>
      <c r="J23" s="104" t="n">
        <v>2</v>
      </c>
      <c r="K23" s="104" t="n">
        <v>2</v>
      </c>
      <c r="L23" s="104" t="n">
        <v>2</v>
      </c>
      <c r="M23" s="104" t="n">
        <v>2</v>
      </c>
      <c r="N23" s="104" t="n">
        <v>2</v>
      </c>
      <c r="O23" s="104" t="n">
        <v>2</v>
      </c>
      <c r="P23" s="105" t="n">
        <f aca="false">AVERAGE(D23:O23)</f>
        <v>2</v>
      </c>
    </row>
    <row r="24" customFormat="false" ht="13.5" hidden="false" customHeight="false" outlineLevel="0" collapsed="false">
      <c r="A24" s="69" t="s">
        <v>269</v>
      </c>
      <c r="B24" s="69" t="s">
        <v>270</v>
      </c>
      <c r="C24" s="69" t="s">
        <v>345</v>
      </c>
      <c r="D24" s="104" t="n">
        <v>2</v>
      </c>
      <c r="E24" s="104" t="n">
        <v>2</v>
      </c>
      <c r="F24" s="104" t="n">
        <v>2</v>
      </c>
      <c r="G24" s="104" t="n">
        <v>2</v>
      </c>
      <c r="H24" s="104" t="n">
        <v>2</v>
      </c>
      <c r="I24" s="104" t="n">
        <v>2</v>
      </c>
      <c r="J24" s="104" t="n">
        <v>2</v>
      </c>
      <c r="K24" s="104" t="n">
        <v>2</v>
      </c>
      <c r="L24" s="104" t="n">
        <v>2</v>
      </c>
      <c r="M24" s="104" t="n">
        <v>2</v>
      </c>
      <c r="N24" s="104" t="n">
        <v>2</v>
      </c>
      <c r="O24" s="104" t="n">
        <v>2</v>
      </c>
      <c r="P24" s="105" t="n">
        <f aca="false">AVERAGE(D24:O24)</f>
        <v>2</v>
      </c>
    </row>
    <row r="25" customFormat="false" ht="13.5" hidden="false" customHeight="false" outlineLevel="0" collapsed="false">
      <c r="A25" s="69" t="s">
        <v>272</v>
      </c>
      <c r="B25" s="69" t="s">
        <v>273</v>
      </c>
      <c r="C25" s="69" t="s">
        <v>346</v>
      </c>
      <c r="D25" s="104" t="n">
        <v>2.75</v>
      </c>
      <c r="E25" s="104" t="n">
        <v>2.75</v>
      </c>
      <c r="F25" s="104" t="n">
        <v>2.75</v>
      </c>
      <c r="G25" s="104" t="n">
        <v>2.75</v>
      </c>
      <c r="H25" s="104" t="n">
        <v>2.75</v>
      </c>
      <c r="I25" s="104" t="n">
        <v>2.75</v>
      </c>
      <c r="J25" s="104" t="n">
        <v>2.75</v>
      </c>
      <c r="K25" s="104" t="n">
        <v>2.75</v>
      </c>
      <c r="L25" s="104" t="n">
        <v>2.75</v>
      </c>
      <c r="M25" s="104" t="n">
        <v>2.75</v>
      </c>
      <c r="N25" s="104" t="n">
        <v>2.75</v>
      </c>
      <c r="O25" s="104" t="n">
        <v>2.75</v>
      </c>
      <c r="P25" s="105" t="n">
        <f aca="false">AVERAGE(D25:O25)</f>
        <v>2.75</v>
      </c>
    </row>
    <row r="26" customFormat="false" ht="13.5" hidden="false" customHeight="false" outlineLevel="0" collapsed="false">
      <c r="A26" s="69" t="s">
        <v>275</v>
      </c>
      <c r="B26" s="69" t="s">
        <v>276</v>
      </c>
      <c r="C26" s="69" t="s">
        <v>347</v>
      </c>
      <c r="D26" s="104" t="n">
        <v>4</v>
      </c>
      <c r="E26" s="104" t="n">
        <v>4</v>
      </c>
      <c r="F26" s="104" t="n">
        <v>4</v>
      </c>
      <c r="G26" s="104" t="n">
        <v>4</v>
      </c>
      <c r="H26" s="104" t="n">
        <v>4</v>
      </c>
      <c r="I26" s="104" t="n">
        <v>4</v>
      </c>
      <c r="J26" s="104" t="n">
        <v>4</v>
      </c>
      <c r="K26" s="104" t="n">
        <v>4</v>
      </c>
      <c r="L26" s="104" t="n">
        <v>4</v>
      </c>
      <c r="M26" s="104" t="n">
        <v>4</v>
      </c>
      <c r="N26" s="104" t="n">
        <v>4</v>
      </c>
      <c r="O26" s="104" t="n">
        <v>4</v>
      </c>
      <c r="P26" s="105" t="n">
        <f aca="false">AVERAGE(D26:O26)</f>
        <v>4</v>
      </c>
    </row>
    <row r="27" customFormat="false" ht="13.5" hidden="false" customHeight="false" outlineLevel="0" collapsed="false">
      <c r="A27" s="69" t="s">
        <v>278</v>
      </c>
      <c r="B27" s="69" t="s">
        <v>279</v>
      </c>
      <c r="C27" s="69" t="s">
        <v>348</v>
      </c>
      <c r="D27" s="104" t="n">
        <v>1</v>
      </c>
      <c r="E27" s="104" t="n">
        <v>1</v>
      </c>
      <c r="F27" s="104" t="n">
        <v>1</v>
      </c>
      <c r="G27" s="104" t="n">
        <v>1</v>
      </c>
      <c r="H27" s="104" t="n">
        <v>1</v>
      </c>
      <c r="I27" s="104" t="n">
        <v>1</v>
      </c>
      <c r="J27" s="104" t="n">
        <v>1</v>
      </c>
      <c r="K27" s="104" t="n">
        <v>1</v>
      </c>
      <c r="L27" s="104" t="n">
        <v>1</v>
      </c>
      <c r="M27" s="104" t="n">
        <v>1</v>
      </c>
      <c r="N27" s="104" t="n">
        <v>1</v>
      </c>
      <c r="O27" s="104" t="n">
        <v>1</v>
      </c>
      <c r="P27" s="105" t="n">
        <f aca="false">AVERAGE(D27:O27)</f>
        <v>1</v>
      </c>
    </row>
    <row r="28" customFormat="false" ht="13.5" hidden="false" customHeight="false" outlineLevel="0" collapsed="false">
      <c r="A28" s="69" t="s">
        <v>281</v>
      </c>
      <c r="B28" s="69" t="s">
        <v>282</v>
      </c>
      <c r="C28" s="69" t="s">
        <v>349</v>
      </c>
      <c r="D28" s="104" t="n">
        <v>1</v>
      </c>
      <c r="E28" s="104" t="n">
        <v>1</v>
      </c>
      <c r="F28" s="104" t="n">
        <v>1</v>
      </c>
      <c r="G28" s="104" t="n">
        <v>1</v>
      </c>
      <c r="H28" s="104" t="n">
        <v>1</v>
      </c>
      <c r="I28" s="104" t="n">
        <v>1</v>
      </c>
      <c r="J28" s="104"/>
      <c r="K28" s="104"/>
      <c r="L28" s="104"/>
      <c r="M28" s="104"/>
      <c r="N28" s="104"/>
      <c r="O28" s="104"/>
      <c r="P28" s="105" t="n">
        <f aca="false">AVERAGE(D28:O28)</f>
        <v>1</v>
      </c>
    </row>
    <row r="29" s="6" customFormat="true" ht="13.5" hidden="false" customHeight="false" outlineLevel="0" collapsed="false">
      <c r="A29" s="103" t="s">
        <v>284</v>
      </c>
      <c r="B29" s="69" t="s">
        <v>282</v>
      </c>
      <c r="C29" s="69" t="s">
        <v>350</v>
      </c>
      <c r="D29" s="104"/>
      <c r="E29" s="104"/>
      <c r="F29" s="104"/>
      <c r="G29" s="104"/>
      <c r="H29" s="104"/>
      <c r="I29" s="104"/>
      <c r="J29" s="104" t="n">
        <v>1</v>
      </c>
      <c r="K29" s="104" t="n">
        <v>1</v>
      </c>
      <c r="L29" s="104" t="n">
        <v>1</v>
      </c>
      <c r="M29" s="104" t="n">
        <v>1</v>
      </c>
      <c r="N29" s="104" t="n">
        <v>1</v>
      </c>
      <c r="O29" s="104" t="n">
        <v>1</v>
      </c>
      <c r="P29" s="105" t="n">
        <f aca="false">AVERAGE(D29:O29)</f>
        <v>1</v>
      </c>
    </row>
    <row r="30" s="6" customFormat="true" ht="13.5" hidden="false" customHeight="false" outlineLevel="0" collapsed="false">
      <c r="A30" s="69" t="s">
        <v>286</v>
      </c>
      <c r="B30" s="69" t="s">
        <v>287</v>
      </c>
      <c r="C30" s="69" t="s">
        <v>351</v>
      </c>
      <c r="D30" s="104" t="n">
        <v>2</v>
      </c>
      <c r="E30" s="104" t="n">
        <v>2</v>
      </c>
      <c r="F30" s="104" t="n">
        <v>2</v>
      </c>
      <c r="G30" s="104"/>
      <c r="H30" s="104"/>
      <c r="I30" s="104"/>
      <c r="J30" s="104"/>
      <c r="K30" s="104"/>
      <c r="L30" s="104"/>
      <c r="M30" s="104"/>
      <c r="N30" s="104"/>
      <c r="O30" s="104"/>
      <c r="P30" s="105" t="n">
        <f aca="false">AVERAGE(D30:O30)</f>
        <v>2</v>
      </c>
    </row>
    <row r="31" s="6" customFormat="true" ht="13.5" hidden="false" customHeight="false" outlineLevel="0" collapsed="false">
      <c r="A31" s="103" t="s">
        <v>289</v>
      </c>
      <c r="B31" s="69" t="s">
        <v>287</v>
      </c>
      <c r="C31" s="69" t="s">
        <v>352</v>
      </c>
      <c r="D31" s="104"/>
      <c r="E31" s="104"/>
      <c r="F31" s="104"/>
      <c r="G31" s="104" t="n">
        <v>3</v>
      </c>
      <c r="H31" s="104" t="n">
        <v>3</v>
      </c>
      <c r="I31" s="104" t="n">
        <v>3</v>
      </c>
      <c r="J31" s="104" t="n">
        <v>3</v>
      </c>
      <c r="K31" s="104" t="n">
        <v>3</v>
      </c>
      <c r="L31" s="104" t="n">
        <v>3</v>
      </c>
      <c r="M31" s="104" t="n">
        <v>3</v>
      </c>
      <c r="N31" s="104" t="n">
        <v>3</v>
      </c>
      <c r="O31" s="104" t="n">
        <v>3</v>
      </c>
      <c r="P31" s="105" t="n">
        <f aca="false">AVERAGE(D31:O31)</f>
        <v>3</v>
      </c>
    </row>
    <row r="32" s="6" customFormat="true" ht="13.5" hidden="false" customHeight="false" outlineLevel="0" collapsed="false">
      <c r="A32" s="69" t="s">
        <v>292</v>
      </c>
      <c r="B32" s="69" t="s">
        <v>293</v>
      </c>
      <c r="C32" s="69" t="s">
        <v>353</v>
      </c>
      <c r="D32" s="104" t="n">
        <v>4</v>
      </c>
      <c r="E32" s="104" t="n">
        <v>4</v>
      </c>
      <c r="F32" s="104" t="n">
        <v>4</v>
      </c>
      <c r="G32" s="104" t="n">
        <v>4</v>
      </c>
      <c r="H32" s="104" t="n">
        <v>4</v>
      </c>
      <c r="I32" s="104" t="n">
        <v>4</v>
      </c>
      <c r="J32" s="104" t="n">
        <v>4</v>
      </c>
      <c r="K32" s="104" t="n">
        <v>4</v>
      </c>
      <c r="L32" s="104" t="n">
        <v>4</v>
      </c>
      <c r="M32" s="104" t="n">
        <v>4</v>
      </c>
      <c r="N32" s="104" t="n">
        <v>4</v>
      </c>
      <c r="O32" s="104" t="n">
        <v>4</v>
      </c>
      <c r="P32" s="105" t="n">
        <f aca="false">AVERAGE(D32:O32)</f>
        <v>4</v>
      </c>
    </row>
    <row r="33" s="6" customFormat="true" ht="13.5" hidden="false" customHeight="false" outlineLevel="0" collapsed="false">
      <c r="A33" s="69" t="s">
        <v>295</v>
      </c>
      <c r="B33" s="69" t="s">
        <v>296</v>
      </c>
      <c r="C33" s="69" t="s">
        <v>354</v>
      </c>
      <c r="D33" s="104" t="n">
        <v>3</v>
      </c>
      <c r="E33" s="104" t="n">
        <v>3</v>
      </c>
      <c r="F33" s="104" t="n">
        <v>3</v>
      </c>
      <c r="G33" s="104" t="n">
        <v>3</v>
      </c>
      <c r="H33" s="104" t="n">
        <v>3</v>
      </c>
      <c r="I33" s="104" t="n">
        <v>3</v>
      </c>
      <c r="J33" s="104" t="n">
        <v>3</v>
      </c>
      <c r="K33" s="104" t="n">
        <v>3</v>
      </c>
      <c r="L33" s="104" t="n">
        <v>3</v>
      </c>
      <c r="M33" s="104" t="n">
        <v>3</v>
      </c>
      <c r="N33" s="104" t="n">
        <v>3</v>
      </c>
      <c r="O33" s="104" t="n">
        <v>3</v>
      </c>
      <c r="P33" s="105" t="n">
        <f aca="false">AVERAGE(D33:O33)</f>
        <v>3</v>
      </c>
    </row>
    <row r="34" s="6" customFormat="true" ht="13.5" hidden="false" customHeight="false" outlineLevel="0" collapsed="false">
      <c r="A34" s="69" t="s">
        <v>298</v>
      </c>
      <c r="B34" s="69" t="s">
        <v>299</v>
      </c>
      <c r="C34" s="69" t="s">
        <v>355</v>
      </c>
      <c r="D34" s="104" t="n">
        <v>3</v>
      </c>
      <c r="E34" s="104" t="n">
        <v>3</v>
      </c>
      <c r="F34" s="104" t="n">
        <v>3</v>
      </c>
      <c r="G34" s="104" t="n">
        <v>3</v>
      </c>
      <c r="H34" s="104" t="n">
        <v>3</v>
      </c>
      <c r="I34" s="104" t="n">
        <v>3</v>
      </c>
      <c r="J34" s="104" t="n">
        <v>3</v>
      </c>
      <c r="K34" s="104" t="n">
        <v>3</v>
      </c>
      <c r="L34" s="104" t="n">
        <v>3</v>
      </c>
      <c r="M34" s="104" t="n">
        <v>3</v>
      </c>
      <c r="N34" s="104" t="n">
        <v>3</v>
      </c>
      <c r="O34" s="104" t="n">
        <v>3</v>
      </c>
      <c r="P34" s="105" t="n">
        <f aca="false">AVERAGE(D34:O34)</f>
        <v>3</v>
      </c>
    </row>
    <row r="35" s="6" customFormat="true" ht="13.5" hidden="false" customHeight="false" outlineLevel="0" collapsed="false">
      <c r="A35" s="103" t="s">
        <v>301</v>
      </c>
      <c r="B35" s="69" t="s">
        <v>302</v>
      </c>
      <c r="C35" s="69" t="s">
        <v>356</v>
      </c>
      <c r="D35" s="104" t="n">
        <v>3</v>
      </c>
      <c r="E35" s="104" t="n">
        <v>3</v>
      </c>
      <c r="F35" s="104" t="n">
        <v>3</v>
      </c>
      <c r="G35" s="104" t="n">
        <v>3</v>
      </c>
      <c r="H35" s="104" t="n">
        <v>3</v>
      </c>
      <c r="I35" s="104" t="n">
        <v>3</v>
      </c>
      <c r="J35" s="104" t="n">
        <v>3</v>
      </c>
      <c r="K35" s="104" t="n">
        <v>3</v>
      </c>
      <c r="L35" s="104" t="n">
        <v>3</v>
      </c>
      <c r="M35" s="104" t="n">
        <v>3</v>
      </c>
      <c r="N35" s="104" t="n">
        <v>3</v>
      </c>
      <c r="O35" s="104" t="n">
        <v>3</v>
      </c>
      <c r="P35" s="105" t="n">
        <f aca="false">AVERAGE(D35:O35)</f>
        <v>3</v>
      </c>
    </row>
    <row r="36" customFormat="false" ht="13.5" hidden="false" customHeight="false" outlineLevel="0" collapsed="false">
      <c r="A36" s="103"/>
      <c r="B36" s="69"/>
      <c r="C36" s="69"/>
      <c r="D36" s="104"/>
      <c r="E36" s="104"/>
      <c r="F36" s="104"/>
      <c r="G36" s="104"/>
      <c r="H36" s="104"/>
      <c r="I36" s="104"/>
      <c r="J36" s="104"/>
      <c r="K36" s="104"/>
      <c r="L36" s="104"/>
      <c r="M36" s="104"/>
      <c r="N36" s="104"/>
      <c r="O36" s="104"/>
      <c r="P36" s="105"/>
    </row>
    <row r="37" customFormat="false" ht="13.5" hidden="false" customHeight="false" outlineLevel="0" collapsed="false">
      <c r="A37" s="103"/>
      <c r="B37" s="69"/>
      <c r="C37" s="69"/>
      <c r="D37" s="104"/>
      <c r="E37" s="104"/>
      <c r="F37" s="104"/>
      <c r="G37" s="104"/>
      <c r="H37" s="104"/>
      <c r="I37" s="104"/>
      <c r="J37" s="104"/>
      <c r="K37" s="104"/>
      <c r="L37" s="104"/>
      <c r="M37" s="104"/>
      <c r="N37" s="104"/>
      <c r="O37" s="104"/>
      <c r="P37" s="105"/>
    </row>
    <row r="38" customFormat="false" ht="13.5" hidden="false" customHeight="false" outlineLevel="0" collapsed="false">
      <c r="A38" s="110"/>
      <c r="B38" s="111"/>
      <c r="C38" s="112" t="s">
        <v>357</v>
      </c>
      <c r="D38" s="112" t="n">
        <f aca="false">SUM(D2:D36)</f>
        <v>60.75</v>
      </c>
      <c r="E38" s="112" t="n">
        <f aca="false">SUM(E2:E36)</f>
        <v>60.75</v>
      </c>
      <c r="F38" s="112" t="n">
        <f aca="false">SUM(F2:F36)</f>
        <v>60.75</v>
      </c>
      <c r="G38" s="112" t="n">
        <f aca="false">SUM(G2:G36)</f>
        <v>62.75</v>
      </c>
      <c r="H38" s="112" t="n">
        <f aca="false">SUM(H2:H36)</f>
        <v>62.75</v>
      </c>
      <c r="I38" s="112" t="n">
        <f aca="false">SUM(I2:I36)</f>
        <v>62.75</v>
      </c>
      <c r="J38" s="112" t="n">
        <f aca="false">SUM(J2:J36)</f>
        <v>61.75</v>
      </c>
      <c r="K38" s="112" t="n">
        <f aca="false">SUM(K2:K36)</f>
        <v>61.75</v>
      </c>
      <c r="L38" s="112" t="n">
        <f aca="false">SUM(L2:L36)</f>
        <v>61.75</v>
      </c>
      <c r="M38" s="112" t="n">
        <f aca="false">SUM(M2:M36)</f>
        <v>61.75</v>
      </c>
      <c r="N38" s="112" t="n">
        <f aca="false">SUM(N2:N36)</f>
        <v>61.75</v>
      </c>
      <c r="O38" s="112" t="n">
        <f aca="false">SUM(O2:O36)</f>
        <v>61.75</v>
      </c>
      <c r="P38" s="112"/>
      <c r="Q38" s="6"/>
    </row>
    <row r="39" customFormat="false" ht="13.5" hidden="false" customHeight="false" outlineLevel="0" collapsed="false">
      <c r="B39" s="113"/>
    </row>
    <row r="40" customFormat="false" ht="13.5" hidden="false" customHeight="false" outlineLevel="0" collapsed="false">
      <c r="B40" s="113"/>
    </row>
    <row r="41" customFormat="false" ht="13.5" hidden="false" customHeight="false" outlineLevel="0" collapsed="false">
      <c r="B41" s="114" t="s">
        <v>0</v>
      </c>
    </row>
    <row r="42" customFormat="false" ht="13.5" hidden="false" customHeight="false" outlineLevel="0" collapsed="false">
      <c r="B42" s="113" t="s">
        <v>358</v>
      </c>
    </row>
    <row r="43" customFormat="false" ht="13.5" hidden="false" customHeight="false" outlineLevel="0" collapsed="false">
      <c r="B43" s="113"/>
    </row>
    <row r="44" customFormat="false" ht="13.5" hidden="false" customHeight="false" outlineLevel="0" collapsed="false">
      <c r="B44" s="113"/>
    </row>
    <row r="45" customFormat="false" ht="13.5" hidden="false" customHeight="false" outlineLevel="0" collapsed="false">
      <c r="B45" s="113"/>
    </row>
    <row r="46" customFormat="false" ht="13.5" hidden="false" customHeight="false" outlineLevel="0" collapsed="false">
      <c r="B46" s="113"/>
    </row>
    <row r="47" customFormat="false" ht="13.5" hidden="false" customHeight="false" outlineLevel="0" collapsed="false">
      <c r="B47" s="113"/>
    </row>
    <row r="48" customFormat="false" ht="13.5" hidden="false" customHeight="false" outlineLevel="0" collapsed="false">
      <c r="B48" s="113"/>
    </row>
    <row r="49" customFormat="false" ht="13.5" hidden="false" customHeight="false" outlineLevel="0" collapsed="false">
      <c r="B49" s="113"/>
    </row>
    <row r="50" customFormat="false" ht="13.5" hidden="false" customHeight="false" outlineLevel="0" collapsed="false">
      <c r="B50" s="113"/>
    </row>
    <row r="51" customFormat="false" ht="13.5" hidden="false" customHeight="false" outlineLevel="0" collapsed="false">
      <c r="B51" s="113"/>
    </row>
    <row r="52" customFormat="false" ht="13.5" hidden="false" customHeight="false" outlineLevel="0" collapsed="false">
      <c r="B52" s="113"/>
    </row>
    <row r="53" customFormat="false" ht="13.5" hidden="false" customHeight="false" outlineLevel="0" collapsed="false">
      <c r="B53" s="113"/>
    </row>
    <row r="54" customFormat="false" ht="13.5" hidden="false" customHeight="false" outlineLevel="0" collapsed="false">
      <c r="B54" s="113"/>
    </row>
    <row r="55" customFormat="false" ht="13.5" hidden="false" customHeight="false" outlineLevel="0" collapsed="false">
      <c r="B55" s="113"/>
    </row>
    <row r="56" customFormat="false" ht="13.5" hidden="false" customHeight="false" outlineLevel="0" collapsed="false">
      <c r="B56" s="113"/>
    </row>
    <row r="57" customFormat="false" ht="13.5" hidden="false" customHeight="false" outlineLevel="0" collapsed="false">
      <c r="B57" s="113"/>
    </row>
    <row r="58" customFormat="false" ht="13.5" hidden="false" customHeight="false" outlineLevel="0" collapsed="false">
      <c r="B58" s="113"/>
    </row>
    <row r="59" customFormat="false" ht="13.5" hidden="false" customHeight="false" outlineLevel="0" collapsed="false">
      <c r="B59" s="113"/>
    </row>
    <row r="60" customFormat="false" ht="13.5" hidden="false" customHeight="false" outlineLevel="0" collapsed="false">
      <c r="B60" s="113"/>
    </row>
    <row r="61" customFormat="false" ht="13.5" hidden="false" customHeight="false" outlineLevel="0" collapsed="false">
      <c r="B61" s="113"/>
    </row>
    <row r="62" customFormat="false" ht="13.5" hidden="false" customHeight="false" outlineLevel="0" collapsed="false">
      <c r="B62" s="113"/>
    </row>
  </sheetData>
  <printOptions headings="false" gridLines="false" gridLinesSet="true" horizontalCentered="false" verticalCentered="false"/>
  <pageMargins left="0.7" right="0.7" top="0.7875" bottom="0.7875" header="0.511811023622047" footer="0.511811023622047"/>
  <pageSetup paperSize="9" scale="100" fitToWidth="1" fitToHeight="1" pageOrder="overThenDown" orientation="landscape" blackAndWhite="false" draft="false" cellComments="none" firstPageNumber="1" useFirstPageNumber="tru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J48"/>
  <sheetViews>
    <sheetView showFormulas="false" showGridLines="true" showRowColHeaders="true" showZeros="true" rightToLeft="false" tabSelected="false" showOutlineSymbols="true" defaultGridColor="true" view="normal" topLeftCell="A9" colorId="64" zoomScale="100" zoomScaleNormal="100" zoomScalePageLayoutView="100" workbookViewId="0">
      <selection pane="topLeft" activeCell="G20" activeCellId="0" sqref="G4:G37"/>
    </sheetView>
  </sheetViews>
  <sheetFormatPr defaultColWidth="10.56640625" defaultRowHeight="13.5" zeroHeight="false" outlineLevelRow="0" outlineLevelCol="0"/>
  <cols>
    <col collapsed="false" customWidth="true" hidden="false" outlineLevel="0" max="1" min="1" style="0" width="36.33"/>
    <col collapsed="false" customWidth="true" hidden="false" outlineLevel="0" max="2" min="2" style="0" width="22.5"/>
    <col collapsed="false" customWidth="true" hidden="false" outlineLevel="0" max="3" min="3" style="0" width="22.08"/>
    <col collapsed="false" customWidth="true" hidden="false" outlineLevel="0" max="4" min="4" style="0" width="17.5"/>
    <col collapsed="false" customWidth="true" hidden="false" outlineLevel="0" max="5" min="5" style="0" width="12"/>
    <col collapsed="false" customWidth="true" hidden="false" outlineLevel="0" max="6" min="6" style="0" width="13"/>
    <col collapsed="false" customWidth="true" hidden="false" outlineLevel="0" max="7" min="7" style="0" width="11"/>
    <col collapsed="false" customWidth="true" hidden="false" outlineLevel="0" max="63" min="9" style="0" width="11"/>
  </cols>
  <sheetData>
    <row r="1" customFormat="false" ht="13.5" hidden="false" customHeight="false" outlineLevel="0" collapsed="false">
      <c r="A1" s="1" t="str">
        <f aca="false">CONCATENATE(" Nebenkostenabrechnung ",Stammdaten!E2,"")</f>
        <v>Nebenkostenabrechnung 2021</v>
      </c>
    </row>
    <row r="2" customFormat="false" ht="13.5" hidden="false" customHeight="false" outlineLevel="0" collapsed="false">
      <c r="A2" s="0" t="s">
        <v>359</v>
      </c>
      <c r="B2" s="0" t="str">
        <f aca="false">VLOOKUP($C$2,Wohnungen!B:J,3,0)</f>
        <v>Aenne Wohlgemut-Möchlichen</v>
      </c>
      <c r="C2" s="103" t="s">
        <v>301</v>
      </c>
      <c r="D2" s="115" t="n">
        <v>30402</v>
      </c>
    </row>
    <row r="3" customFormat="false" ht="13.5" hidden="false" customHeight="false" outlineLevel="0" collapsed="false">
      <c r="A3" s="0" t="s">
        <v>202</v>
      </c>
      <c r="B3" s="0" t="str">
        <f aca="false">VLOOKUP($C$2,Wohnungen!B:J,2,0)</f>
        <v>3.4</v>
      </c>
      <c r="C3" s="0" t="s">
        <v>360</v>
      </c>
      <c r="D3" s="30" t="n">
        <f aca="false">SUM(G13:G30)</f>
        <v>7017.68982866187</v>
      </c>
    </row>
    <row r="4" customFormat="false" ht="13.5" hidden="false" customHeight="false" outlineLevel="0" collapsed="false">
      <c r="A4" s="0" t="s">
        <v>361</v>
      </c>
      <c r="B4" s="31" t="str">
        <f aca="false">Stammdaten!H2</f>
        <v>01.01.2021 bis 31.12.2021</v>
      </c>
      <c r="C4" s="0" t="s">
        <v>362</v>
      </c>
      <c r="D4" s="30" t="n">
        <f aca="false">VLOOKUP($C$2,Wohnungen!B:M,11,0)</f>
        <v>5644.68</v>
      </c>
    </row>
    <row r="5" customFormat="false" ht="13.5" hidden="false" customHeight="false" outlineLevel="0" collapsed="false">
      <c r="A5" s="0" t="s">
        <v>363</v>
      </c>
      <c r="C5" s="1" t="str">
        <f aca="false">IF(D3&lt;D4,"Dein Guthaben","Nachzuzahlen")</f>
        <v>Nachzuzahlen</v>
      </c>
      <c r="D5" s="116" t="n">
        <f aca="false">D4-D3</f>
        <v>-1373.00982866187</v>
      </c>
    </row>
    <row r="6" customFormat="false" ht="13.5" hidden="false" customHeight="false" outlineLevel="0" collapsed="false">
      <c r="A6" s="0" t="s">
        <v>364</v>
      </c>
      <c r="B6" s="117" t="n">
        <f aca="false">VLOOKUP($C$2,Wohnungen!B:J,4,0)</f>
        <v>44197</v>
      </c>
    </row>
    <row r="7" customFormat="false" ht="13.5" hidden="false" customHeight="false" outlineLevel="0" collapsed="false">
      <c r="A7" s="0" t="s">
        <v>365</v>
      </c>
      <c r="B7" s="117" t="n">
        <f aca="false">VLOOKUP($C$2,Wohnungen!B:J,5,0)</f>
        <v>44561</v>
      </c>
      <c r="D7" s="30"/>
    </row>
    <row r="8" customFormat="false" ht="13.5" hidden="false" customHeight="false" outlineLevel="0" collapsed="false">
      <c r="B8" s="117"/>
      <c r="D8" s="30"/>
    </row>
    <row r="9" customFormat="false" ht="13.5" hidden="false" customHeight="false" outlineLevel="0" collapsed="false">
      <c r="B9" s="117"/>
      <c r="C9" s="1"/>
      <c r="D9" s="116"/>
    </row>
    <row r="10" customFormat="false" ht="13.5" hidden="false" customHeight="false" outlineLevel="0" collapsed="false">
      <c r="B10" s="117"/>
    </row>
    <row r="11" customFormat="false" ht="18" hidden="false" customHeight="true" outlineLevel="0" collapsed="false"/>
    <row r="12" customFormat="false" ht="13.5" hidden="false" customHeight="false" outlineLevel="0" collapsed="false">
      <c r="A12" s="1" t="s">
        <v>134</v>
      </c>
      <c r="B12" s="1" t="s">
        <v>360</v>
      </c>
      <c r="C12" s="1" t="s">
        <v>366</v>
      </c>
      <c r="D12" s="1" t="s">
        <v>367</v>
      </c>
      <c r="E12" s="1" t="s">
        <v>368</v>
      </c>
      <c r="F12" s="1" t="s">
        <v>369</v>
      </c>
      <c r="G12" s="54" t="s">
        <v>370</v>
      </c>
      <c r="H12" s="54"/>
    </row>
    <row r="13" customFormat="false" ht="13.5" hidden="false" customHeight="false" outlineLevel="0" collapsed="false">
      <c r="A13" s="6" t="str">
        <f aca="false">CONCATENATE("Frischwasser Wohnung (", ROUND(Stammdaten!H7,2)," €/m³)")</f>
        <v>Frischwasser Wohnung (2,28 €/m³)</v>
      </c>
      <c r="B13" s="30" t="n">
        <f aca="false">Stammdaten!$B$3</f>
        <v>5359.08</v>
      </c>
      <c r="C13" s="6" t="s">
        <v>371</v>
      </c>
      <c r="D13" s="118"/>
      <c r="E13" s="118" t="n">
        <f aca="false">VLOOKUP($C$2,Wohnungen!B:N,12,0)</f>
        <v>61.208</v>
      </c>
      <c r="F13" s="119" t="s">
        <v>372</v>
      </c>
      <c r="G13" s="30" t="n">
        <f aca="false">E13*Stammdaten!$H$7</f>
        <v>139.345186338148</v>
      </c>
      <c r="H13" s="30"/>
    </row>
    <row r="14" customFormat="false" ht="13.5" hidden="false" customHeight="false" outlineLevel="0" collapsed="false">
      <c r="A14" s="6" t="str">
        <f aca="false">CONCATENATE("Frischwasser Gemeinschaft (", ROUND(Stammdaten!H7,2)," €/m³)")</f>
        <v>Frischwasser Gemeinschaft (2,28 €/m³)</v>
      </c>
      <c r="B14" s="30" t="n">
        <f aca="false">Stammdaten!$H$6*Stammdaten!$H$7</f>
        <v>759.001901699235</v>
      </c>
      <c r="C14" s="6" t="s">
        <v>373</v>
      </c>
      <c r="D14" s="42"/>
      <c r="E14" s="42" t="n">
        <f aca="false">VLOOKUP($C$2,Wohnungen!B:J,8,0)*VLOOKUP($C$2,Wohnungen!B:J,6,0)</f>
        <v>2190</v>
      </c>
      <c r="F14" s="119" t="s">
        <v>374</v>
      </c>
      <c r="G14" s="30" t="n">
        <f aca="false">B14/Wohnungen!$I$39*(VLOOKUP($C$2,Wohnungen!B:J,8,0)/Stammdaten!$H$3*VLOOKUP($C$2,Wohnungen!B:J,6,0))</f>
        <v>42.8411233320359</v>
      </c>
      <c r="H14" s="30"/>
      <c r="I14" s="30"/>
    </row>
    <row r="15" customFormat="false" ht="13.5" hidden="false" customHeight="false" outlineLevel="0" collapsed="false">
      <c r="A15" s="6" t="str">
        <f aca="false">CONCATENATE("Schmutzwasser Wohnung (", ROUND(Stammdaten!H8,2)," €/m³)")</f>
        <v>Schmutzwasser Wohnung (1,68 €/m³)</v>
      </c>
      <c r="B15" s="30" t="n">
        <f aca="false">Stammdaten!B4-B16</f>
        <v>3394.6164</v>
      </c>
      <c r="C15" s="6" t="s">
        <v>371</v>
      </c>
      <c r="D15" s="118" t="n">
        <f aca="false">Stammdaten!E16+Stammdaten!E20</f>
        <v>0</v>
      </c>
      <c r="E15" s="118" t="n">
        <f aca="false">E13+E18</f>
        <v>89.326</v>
      </c>
      <c r="F15" s="119" t="s">
        <v>372</v>
      </c>
      <c r="G15" s="30" t="n">
        <f aca="false">E15*Stammdaten!$H$8</f>
        <v>150.06768</v>
      </c>
      <c r="H15" s="30"/>
    </row>
    <row r="16" customFormat="false" ht="13.5" hidden="false" customHeight="false" outlineLevel="0" collapsed="false">
      <c r="A16" s="6" t="str">
        <f aca="false">CONCATENATE("Schmutzwasser Gemeinschaft (", ROUND(Stammdaten!H8,2)," €/m³)")</f>
        <v>Schmutzwasser Gemeinschaft (1,68 €/m³)</v>
      </c>
      <c r="B16" s="30" t="n">
        <f aca="false">Stammdaten!$H$6*Stammdaten!$H$8</f>
        <v>560.1036</v>
      </c>
      <c r="C16" s="6" t="s">
        <v>373</v>
      </c>
      <c r="D16" s="42"/>
      <c r="E16" s="42" t="n">
        <f aca="false">VLOOKUP($C$2,Wohnungen!B:J,8,0)*VLOOKUP($C$2,Wohnungen!B:J,6,0)</f>
        <v>2190</v>
      </c>
      <c r="F16" s="6" t="s">
        <v>374</v>
      </c>
      <c r="G16" s="30" t="n">
        <f aca="false">B16/Wohnungen!$I$39*VLOOKUP($C$2,Wohnungen!B:J,8,0)/Stammdaten!$H$3*VLOOKUP($C$2,Wohnungen!B:J,6,0)</f>
        <v>31.6145023518344</v>
      </c>
      <c r="H16" s="30"/>
    </row>
    <row r="17" customFormat="false" ht="13.5" hidden="false" customHeight="false" outlineLevel="0" collapsed="false">
      <c r="A17" s="6" t="str">
        <f aca="false">CONCATENATE("Niederschlagswasser (",ROUND(Stammdaten!H9,2), " €/m³)")</f>
        <v>Niederschlagswasser (0,63 €/m³)</v>
      </c>
      <c r="B17" s="30" t="n">
        <f aca="false">Stammdaten!$B$5</f>
        <v>872.8</v>
      </c>
      <c r="C17" s="6" t="s">
        <v>373</v>
      </c>
      <c r="D17" s="42"/>
      <c r="E17" s="42" t="n">
        <f aca="false">VLOOKUP($C$2,Wohnungen!B:J,8,0)*VLOOKUP($C$2,Wohnungen!B:J,6,0)</f>
        <v>2190</v>
      </c>
      <c r="F17" s="6" t="s">
        <v>374</v>
      </c>
      <c r="G17" s="30" t="n">
        <f aca="false">B17/Wohnungen!$I$39*VLOOKUP($C$2,Wohnungen!B:J,8,0)/Stammdaten!$H$3*VLOOKUP($C$2,Wohnungen!B:J,6,0)</f>
        <v>49.2643461900282</v>
      </c>
      <c r="H17" s="30"/>
    </row>
    <row r="18" customFormat="false" ht="13.5" hidden="false" customHeight="false" outlineLevel="0" collapsed="false">
      <c r="A18" s="6" t="str">
        <f aca="false">CONCATENATE("Warmwasser Wohnung (",ROUND(Stammdaten!H20,2)," €/m³)")</f>
        <v>Warmwasser Wohnung (11,32 €/m³)</v>
      </c>
      <c r="B18" s="30" t="n">
        <f aca="false">Stammdaten!$H$19</f>
        <v>5656.33543953698</v>
      </c>
      <c r="C18" s="6" t="s">
        <v>371</v>
      </c>
      <c r="D18" s="6"/>
      <c r="E18" s="118" t="n">
        <f aca="false">VLOOKUP($C$2,Wohnungen!B:N,13,0)</f>
        <v>28.118</v>
      </c>
      <c r="F18" s="6" t="s">
        <v>372</v>
      </c>
      <c r="G18" s="30" t="n">
        <f aca="false">E18*Stammdaten!$H$20</f>
        <v>318.205745878961</v>
      </c>
      <c r="H18" s="30"/>
    </row>
    <row r="19" customFormat="false" ht="13.5" hidden="false" customHeight="false" outlineLevel="0" collapsed="false">
      <c r="A19" s="6" t="s">
        <v>375</v>
      </c>
      <c r="B19" s="30" t="n">
        <v>17146.794560463</v>
      </c>
      <c r="C19" s="6" t="s">
        <v>371</v>
      </c>
      <c r="D19" s="118" t="n">
        <f aca="false">GETPIVOTDATA("Summe von Verbrauch Ista",'Pivot-Tabelle_Ablesung ista &amp; W'!$A$7)</f>
        <v>215408</v>
      </c>
      <c r="E19" s="42" t="n">
        <f aca="false">VLOOKUP($C$2,Wohnungen!$B:$O,14,0)</f>
        <v>25057</v>
      </c>
      <c r="F19" s="6" t="s">
        <v>376</v>
      </c>
      <c r="G19" s="30" t="n">
        <f aca="false">E19*B19/D19</f>
        <v>1994.5741629908</v>
      </c>
      <c r="H19" s="30"/>
      <c r="J19" s="30"/>
    </row>
    <row r="20" customFormat="false" ht="13.5" hidden="false" customHeight="false" outlineLevel="0" collapsed="false">
      <c r="A20" s="6" t="s">
        <v>377</v>
      </c>
      <c r="B20" s="30" t="n">
        <f aca="false">Stammdaten!$H$16</f>
        <v>6992.85473521129</v>
      </c>
      <c r="C20" s="6" t="s">
        <v>373</v>
      </c>
      <c r="D20" s="42"/>
      <c r="E20" s="42" t="n">
        <f aca="false">VLOOKUP($C$2,Wohnungen!B:J,8,0)*VLOOKUP($C$2,Wohnungen!B:J,6,0)</f>
        <v>2190</v>
      </c>
      <c r="F20" s="6" t="s">
        <v>374</v>
      </c>
      <c r="G20" s="30" t="n">
        <f aca="false">B20/Wohnungen!$I$39*VLOOKUP($C$2,Wohnungen!B:J,8,0)/Stammdaten!$H$3*VLOOKUP($C$2,Wohnungen!B:J,6,0)</f>
        <v>394.704876869875</v>
      </c>
      <c r="H20" s="30"/>
    </row>
    <row r="21" customFormat="false" ht="13.5" hidden="false" customHeight="false" outlineLevel="0" collapsed="false">
      <c r="A21" s="6" t="str">
        <f aca="false">CONCATENATE("Strom Gemeinschaft (",ROUND(Stammdaten!H17,2)," €/kWh)")</f>
        <v>Strom Gemeinschaft (0,28 €/kWh)</v>
      </c>
      <c r="B21" s="30" t="n">
        <f aca="false">Stammdaten!$B$8</f>
        <v>3559.47899747189</v>
      </c>
      <c r="C21" s="6" t="s">
        <v>373</v>
      </c>
      <c r="D21" s="6"/>
      <c r="E21" s="42" t="n">
        <f aca="false">VLOOKUP($C$2,Wohnungen!B:J,8,0)*VLOOKUP($C$2,Wohnungen!B:J,6,0)</f>
        <v>2190</v>
      </c>
      <c r="F21" s="6" t="s">
        <v>374</v>
      </c>
      <c r="G21" s="30" t="n">
        <f aca="false">B21/Wohnungen!$I$39*VLOOKUP($C$2,Wohnungen!B:J,8,0)/Stammdaten!$H$3*VLOOKUP($C$2,Wohnungen!B:J,6,0)</f>
        <v>200.911326291922</v>
      </c>
      <c r="H21" s="30"/>
    </row>
    <row r="22" customFormat="false" ht="13.5" hidden="false" customHeight="false" outlineLevel="0" collapsed="false">
      <c r="A22" s="6" t="str">
        <f aca="false">CONCATENATE("Strom Wohnung (",ROUND(Stammdaten!H17,2)," €/kWh)")</f>
        <v>Strom Wohnung (0,28 €/kWh)</v>
      </c>
      <c r="B22" s="30" t="n">
        <f aca="false">Stammdaten!$B$9</f>
        <v>12759.1910025281</v>
      </c>
      <c r="C22" s="6" t="s">
        <v>371</v>
      </c>
      <c r="D22" s="6"/>
      <c r="E22" s="42" t="n">
        <f aca="false">VLOOKUP($C$2,'Ablesung Strom '!B:H,6,0)</f>
        <v>9875.88</v>
      </c>
      <c r="F22" s="6" t="s">
        <v>378</v>
      </c>
      <c r="G22" s="30" t="n">
        <f aca="false">E22*Stammdaten!$H$17</f>
        <v>2715.867</v>
      </c>
      <c r="H22" s="30"/>
    </row>
    <row r="23" customFormat="false" ht="13.5" hidden="false" customHeight="false" outlineLevel="0" collapsed="false">
      <c r="A23" s="6" t="s">
        <v>156</v>
      </c>
      <c r="B23" s="30" t="n">
        <f aca="false">Stammdaten!$B$10</f>
        <v>1312.57</v>
      </c>
      <c r="C23" s="6" t="s">
        <v>373</v>
      </c>
      <c r="D23" s="42"/>
      <c r="E23" s="42" t="n">
        <f aca="false">VLOOKUP($C$2,Wohnungen!B:J,8,0)*VLOOKUP($C$2,Wohnungen!B:J,6,0)</f>
        <v>2190</v>
      </c>
      <c r="F23" s="6" t="s">
        <v>374</v>
      </c>
      <c r="G23" s="30" t="n">
        <f aca="false">B23/Wohnungen!$I$39*VLOOKUP($C$2,Wohnungen!B:J,8,0)/Stammdaten!$H$3*VLOOKUP($C$2,Wohnungen!B:J,6,0)</f>
        <v>74.08673565381</v>
      </c>
      <c r="H23" s="30"/>
    </row>
    <row r="24" customFormat="false" ht="13.5" hidden="false" customHeight="false" outlineLevel="0" collapsed="false">
      <c r="A24" s="6" t="str">
        <f aca="false">Stammdaten!A15</f>
        <v>Erstattung Abwasser Garten</v>
      </c>
      <c r="B24" s="30" t="n">
        <f aca="false">Stammdaten!$B$15</f>
        <v>0</v>
      </c>
      <c r="C24" s="6" t="s">
        <v>373</v>
      </c>
      <c r="D24" s="42"/>
      <c r="E24" s="42" t="n">
        <f aca="false">VLOOKUP($C$2,Wohnungen!B:J,8,0)*VLOOKUP($C$2,Wohnungen!B:J,6,0)</f>
        <v>2190</v>
      </c>
      <c r="F24" s="6" t="s">
        <v>374</v>
      </c>
      <c r="G24" s="30" t="n">
        <f aca="false">B24/Wohnungen!$I$39*VLOOKUP($C$2,Wohnungen!B:J,8,0)/Stammdaten!$H$3*VLOOKUP($C$2,Wohnungen!B:J,6,0)</f>
        <v>0</v>
      </c>
      <c r="H24" s="30"/>
    </row>
    <row r="25" customFormat="false" ht="13.5" hidden="false" customHeight="false" outlineLevel="0" collapsed="false">
      <c r="A25" s="6" t="s">
        <v>163</v>
      </c>
      <c r="B25" s="30" t="n">
        <f aca="false">Stammdaten!$B$14</f>
        <v>485.16</v>
      </c>
      <c r="C25" s="6" t="s">
        <v>373</v>
      </c>
      <c r="D25" s="42"/>
      <c r="E25" s="42" t="n">
        <f aca="false">VLOOKUP($C$2,Wohnungen!B:J,8,0)*VLOOKUP($C$2,Wohnungen!B:J,6,0)</f>
        <v>2190</v>
      </c>
      <c r="F25" s="6" t="s">
        <v>374</v>
      </c>
      <c r="G25" s="30" t="n">
        <f aca="false">B25/Wohnungen!$I$39*VLOOKUP($C$2,Wohnungen!B:J,8,0)/Stammdaten!$H$3*VLOOKUP($C$2,Wohnungen!B:J,6,0)</f>
        <v>27.3843838193791</v>
      </c>
      <c r="H25" s="30"/>
    </row>
    <row r="26" customFormat="false" ht="13.5" hidden="false" customHeight="false" outlineLevel="0" collapsed="false">
      <c r="A26" s="6" t="s">
        <v>379</v>
      </c>
      <c r="B26" s="30" t="n">
        <f aca="false">Stammdaten!$B$12</f>
        <v>4143.95</v>
      </c>
      <c r="C26" s="6" t="s">
        <v>373</v>
      </c>
      <c r="D26" s="42"/>
      <c r="E26" s="42" t="n">
        <f aca="false">VLOOKUP($C$2,Wohnungen!B:J,8,0)*VLOOKUP($C$2,Wohnungen!B:J,6,0)</f>
        <v>2190</v>
      </c>
      <c r="F26" s="6" t="s">
        <v>374</v>
      </c>
      <c r="G26" s="30" t="n">
        <f aca="false">B26/Wohnungen!$I$39*VLOOKUP($C$2,Wohnungen!B:J,8,0)/Stammdaten!$H$3*VLOOKUP($C$2,Wohnungen!B:J,6,0)</f>
        <v>233.901222953904</v>
      </c>
      <c r="H26" s="30"/>
    </row>
    <row r="27" customFormat="false" ht="13.5" hidden="false" customHeight="false" outlineLevel="0" collapsed="false">
      <c r="A27" s="6" t="s">
        <v>113</v>
      </c>
      <c r="B27" s="30" t="n">
        <f aca="false">Stammdaten!$B$2</f>
        <v>4532.6</v>
      </c>
      <c r="C27" s="6" t="s">
        <v>373</v>
      </c>
      <c r="D27" s="42"/>
      <c r="E27" s="42" t="n">
        <f aca="false">VLOOKUP($C$2,Wohnungen!B:J,8,0)*VLOOKUP($C$2,Wohnungen!B:J,6,0)</f>
        <v>2190</v>
      </c>
      <c r="F27" s="6" t="s">
        <v>374</v>
      </c>
      <c r="G27" s="30" t="n">
        <f aca="false">B27/Wohnungen!$I$39*VLOOKUP($C$2,Wohnungen!B:J,8,0)/Stammdaten!$H$3*VLOOKUP($C$2,Wohnungen!B:J,6,0)</f>
        <v>255.838193791157</v>
      </c>
      <c r="H27" s="30"/>
    </row>
    <row r="28" customFormat="false" ht="13.5" hidden="false" customHeight="false" outlineLevel="0" collapsed="false">
      <c r="A28" s="6" t="s">
        <v>116</v>
      </c>
      <c r="B28" s="30" t="n">
        <f aca="false">Stammdaten!$B$11</f>
        <v>3611.13</v>
      </c>
      <c r="C28" s="6" t="s">
        <v>380</v>
      </c>
      <c r="D28" s="6" t="n">
        <f aca="false">Stammdaten!$E$4</f>
        <v>29</v>
      </c>
      <c r="E28" s="42" t="n">
        <v>1</v>
      </c>
      <c r="F28" s="6" t="s">
        <v>380</v>
      </c>
      <c r="G28" s="30" t="n">
        <f aca="false">($B$28/D28*E28)/365*VLOOKUP($C$2,Wohnungen!B:G,6,FALSE())</f>
        <v>124.521724137931</v>
      </c>
      <c r="H28" s="30"/>
    </row>
    <row r="29" customFormat="false" ht="13.5" hidden="false" customHeight="false" outlineLevel="0" collapsed="false">
      <c r="A29" s="6" t="s">
        <v>166</v>
      </c>
      <c r="B29" s="30" t="n">
        <f aca="false">Stammdaten!$B$16</f>
        <v>1149.35</v>
      </c>
      <c r="C29" s="6" t="s">
        <v>373</v>
      </c>
      <c r="D29" s="42"/>
      <c r="E29" s="42" t="n">
        <f aca="false">VLOOKUP($C$2,Wohnungen!B:J,8,0)*VLOOKUP($C$2,Wohnungen!B:J,6,0)</f>
        <v>2190</v>
      </c>
      <c r="F29" s="6" t="s">
        <v>374</v>
      </c>
      <c r="G29" s="30" t="n">
        <f aca="false">B29/Wohnungen!$I$39*VLOOKUP($C$2,Wohnungen!B:J,8,0)/Stammdaten!$H$3*VLOOKUP($C$2,Wohnungen!B:J,6,0)</f>
        <v>64.8739416745061</v>
      </c>
      <c r="H29" s="30"/>
    </row>
    <row r="30" customFormat="false" ht="13.5" hidden="false" customHeight="false" outlineLevel="0" collapsed="false">
      <c r="A30" s="6" t="s">
        <v>161</v>
      </c>
      <c r="B30" s="30" t="n">
        <f aca="false">Stammdaten!$B$13</f>
        <v>3537.8</v>
      </c>
      <c r="C30" s="6" t="s">
        <v>373</v>
      </c>
      <c r="D30" s="42"/>
      <c r="E30" s="42" t="n">
        <f aca="false">VLOOKUP($C$2,Wohnungen!B:J,8,0)*VLOOKUP($C$2,Wohnungen!B:J,6,0)</f>
        <v>2190</v>
      </c>
      <c r="F30" s="6" t="s">
        <v>374</v>
      </c>
      <c r="G30" s="30" t="n">
        <f aca="false">B30/Wohnungen!$I$39*VLOOKUP($C$2,Wohnungen!B:J,8,0)/Stammdaten!$H$3*VLOOKUP($C$2,Wohnungen!B:J,6,0)</f>
        <v>199.687676387582</v>
      </c>
      <c r="H30" s="30"/>
    </row>
    <row r="31" customFormat="false" ht="13.5" hidden="false" customHeight="false" outlineLevel="0" collapsed="false">
      <c r="B31" s="30"/>
      <c r="H31" s="30"/>
    </row>
    <row r="32" customFormat="false" ht="13.5" hidden="false" customHeight="false" outlineLevel="0" collapsed="false">
      <c r="A32" s="0" t="str">
        <f aca="false">CONCATENATE("¹ Zugrunde liegt ein Basisstrompreis von ",ROUND(Stammdaten!$H$17,2)," € / kWh")</f>
        <v>¹ Zugrunde liegt ein Basisstrompreis von 0,28 € / kWh</v>
      </c>
      <c r="E32" s="31"/>
      <c r="F32" s="31"/>
      <c r="H32" s="30"/>
    </row>
    <row r="33" customFormat="false" ht="13.5" hidden="false" customHeight="false" outlineLevel="0" collapsed="false">
      <c r="A33" s="0" t="str">
        <f aca="false">CONCATENATE("² Zugrunde liegt ein Basiswasserpreis von ",ROUND(Stammdaten!$H$7+Stammdaten!$H$8,2)," €/m³. Dieser setzt sich zusammen aus Frischwasser (",ROUND(Stammdaten!$H$7,2)," €/m³) + Schmutzwasser und Niederschlagswasser ( ",ROUND(Stammdaten!$H$8,2)," €/m³).")</f>
        <v>² Zugrunde liegt ein Basiswasserpreis von 3,96 €/m³. Dieser setzt sich zusammen aus Frischwasser (2,28 €/m³) + Schmutzwasser und Niederschlagswasser ( 1,68 €/m³).</v>
      </c>
      <c r="E33" s="31"/>
      <c r="F33" s="31"/>
    </row>
    <row r="34" customFormat="false" ht="13.5" hidden="false" customHeight="false" outlineLevel="0" collapsed="false">
      <c r="A34" s="0" t="str">
        <f aca="false">CONCATENATE("³ Die Kosten für Warmwasser ",ROUND(Stammdaten!$H$20,2)," € / m³ setzen sich zusammen aus den Kosten für Frischwasser (",ROUND(Stammdaten!$H$7,2)," €/m³) und anteilig Kosten für Fernwärme ",ROUND(Stammdaten!$H$20,2)-ROUND(Stammdaten!$H$7,2)," €/m³")</f>
        <v>³ Die Kosten für Warmwasser 11,32 € / m³ setzen sich zusammen aus den Kosten für Frischwasser (2,28 €/m³) und anteilig Kosten für Fernwärme 9,04 €/m³</v>
      </c>
      <c r="E34" s="31"/>
      <c r="F34" s="31"/>
    </row>
    <row r="35" customFormat="false" ht="13.5" hidden="false" customHeight="false" outlineLevel="0" collapsed="false">
      <c r="A35" s="0" t="s">
        <v>381</v>
      </c>
      <c r="B35" s="46"/>
      <c r="D35" s="42"/>
      <c r="G35" s="46"/>
    </row>
    <row r="36" customFormat="false" ht="13.5" hidden="false" customHeight="false" outlineLevel="0" collapsed="false">
      <c r="A36" s="0" t="s">
        <v>382</v>
      </c>
      <c r="B36" s="46"/>
      <c r="D36" s="42"/>
      <c r="G36" s="46"/>
    </row>
    <row r="37" customFormat="false" ht="13.5" hidden="false" customHeight="false" outlineLevel="0" collapsed="false">
      <c r="B37" s="46"/>
      <c r="D37" s="42"/>
      <c r="E37" s="0" t="s">
        <v>48</v>
      </c>
      <c r="G37" s="46"/>
      <c r="H37" s="120"/>
    </row>
    <row r="38" customFormat="false" ht="13.5" hidden="false" customHeight="false" outlineLevel="0" collapsed="false">
      <c r="B38" s="46"/>
      <c r="D38" s="121"/>
      <c r="E38" s="40"/>
      <c r="G38" s="46"/>
    </row>
    <row r="39" customFormat="false" ht="13.5" hidden="false" customHeight="false" outlineLevel="0" collapsed="false">
      <c r="B39" s="46"/>
      <c r="D39" s="42"/>
      <c r="G39" s="46"/>
    </row>
    <row r="40" customFormat="false" ht="13.5" hidden="false" customHeight="false" outlineLevel="0" collapsed="false">
      <c r="B40" s="46"/>
      <c r="D40" s="42"/>
      <c r="G40" s="46"/>
      <c r="H40" s="120"/>
    </row>
    <row r="41" customFormat="false" ht="13.5" hidden="false" customHeight="false" outlineLevel="0" collapsed="false">
      <c r="B41" s="46"/>
      <c r="D41" s="42"/>
      <c r="G41" s="46"/>
    </row>
    <row r="42" customFormat="false" ht="13.5" hidden="false" customHeight="false" outlineLevel="0" collapsed="false">
      <c r="B42" s="46"/>
      <c r="D42" s="42"/>
      <c r="G42" s="46"/>
    </row>
    <row r="43" customFormat="false" ht="13.5" hidden="false" customHeight="false" outlineLevel="0" collapsed="false">
      <c r="B43" s="46"/>
      <c r="D43" s="42"/>
      <c r="E43" s="40"/>
      <c r="G43" s="46"/>
    </row>
    <row r="44" customFormat="false" ht="13.5" hidden="false" customHeight="false" outlineLevel="0" collapsed="false">
      <c r="B44" s="46"/>
      <c r="D44" s="42"/>
      <c r="G44" s="46"/>
    </row>
    <row r="45" customFormat="false" ht="13.5" hidden="false" customHeight="false" outlineLevel="0" collapsed="false">
      <c r="B45" s="46"/>
      <c r="D45" s="42"/>
      <c r="G45" s="46"/>
      <c r="H45" s="120"/>
    </row>
    <row r="46" customFormat="false" ht="13.5" hidden="false" customHeight="false" outlineLevel="0" collapsed="false">
      <c r="B46" s="46"/>
      <c r="D46" s="42"/>
      <c r="G46" s="46"/>
    </row>
    <row r="47" customFormat="false" ht="13.5" hidden="false" customHeight="false" outlineLevel="0" collapsed="false">
      <c r="B47" s="46"/>
      <c r="D47" s="42"/>
      <c r="G47" s="46"/>
    </row>
    <row r="48" customFormat="false" ht="13.5" hidden="false" customHeight="false" outlineLevel="0" collapsed="false">
      <c r="H48" s="120"/>
    </row>
  </sheetData>
  <printOptions headings="false" gridLines="false" gridLinesSet="true" horizontalCentered="false" verticalCentered="false"/>
  <pageMargins left="0.170138888888889" right="0" top="0.39375" bottom="0.39375" header="0" footer="0"/>
  <pageSetup paperSize="9" scale="100" fitToWidth="1" fitToHeight="1" pageOrder="overThenDown" orientation="landscape" blackAndWhite="false" draft="false" cellComments="none" firstPageNumber="1" useFirstPageNumber="true" horizontalDpi="300" verticalDpi="300" copies="1"/>
  <headerFooter differentFirst="false" differentOddEven="false">
    <oddHeader>&amp;C&amp;A</oddHeader>
    <oddFooter>&amp;CSeite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6" activeCellId="1" sqref="G4:G37 E26"/>
    </sheetView>
  </sheetViews>
  <sheetFormatPr defaultColWidth="10.6015625" defaultRowHeight="13.5" zeroHeight="false" outlineLevelRow="0" outlineLevelCol="0"/>
  <cols>
    <col collapsed="false" customWidth="true" hidden="false" outlineLevel="0" max="1" min="1" style="5" width="6.25"/>
    <col collapsed="false" customWidth="true" hidden="false" outlineLevel="0" max="2" min="2" style="46" width="14.09"/>
    <col collapsed="false" customWidth="true" hidden="false" outlineLevel="0" max="3" min="3" style="46" width="14.51"/>
    <col collapsed="false" customWidth="true" hidden="false" outlineLevel="0" max="4" min="4" style="46" width="10.5"/>
  </cols>
  <sheetData>
    <row r="1" customFormat="false" ht="13.5" hidden="false" customHeight="false" outlineLevel="0" collapsed="false">
      <c r="A1" s="114" t="s">
        <v>184</v>
      </c>
      <c r="B1" s="122" t="s">
        <v>360</v>
      </c>
      <c r="C1" s="122" t="s">
        <v>362</v>
      </c>
      <c r="D1" s="122" t="s">
        <v>383</v>
      </c>
    </row>
    <row r="2" customFormat="false" ht="13.5" hidden="false" customHeight="false" outlineLevel="0" collapsed="false">
      <c r="A2" s="5" t="s">
        <v>204</v>
      </c>
      <c r="B2" s="46" t="n">
        <v>2180.18657963941</v>
      </c>
      <c r="C2" s="46" t="n">
        <v>2471.88</v>
      </c>
      <c r="D2" s="46" t="n">
        <v>291.693420360587</v>
      </c>
    </row>
    <row r="3" customFormat="false" ht="13.5" hidden="false" customHeight="false" outlineLevel="0" collapsed="false">
      <c r="A3" s="5" t="s">
        <v>207</v>
      </c>
      <c r="B3" s="46" t="n">
        <v>614.734918013409</v>
      </c>
      <c r="C3" s="46" t="n">
        <v>383.04</v>
      </c>
      <c r="D3" s="46" t="n">
        <v>-231.694918013409</v>
      </c>
    </row>
    <row r="4" customFormat="false" ht="13.5" hidden="false" customHeight="false" outlineLevel="0" collapsed="false">
      <c r="A4" s="5" t="s">
        <v>210</v>
      </c>
      <c r="B4" s="46" t="n">
        <v>1264.33191531614</v>
      </c>
      <c r="C4" s="46" t="n">
        <v>1162.17</v>
      </c>
      <c r="D4" s="46" t="n">
        <v>-102.161915316143</v>
      </c>
    </row>
    <row r="5" customFormat="false" ht="13.5" hidden="false" customHeight="false" outlineLevel="0" collapsed="false">
      <c r="A5" s="5" t="s">
        <v>212</v>
      </c>
      <c r="B5" s="46" t="n">
        <v>1063.54709506948</v>
      </c>
      <c r="C5" s="46" t="n">
        <v>1308.84</v>
      </c>
      <c r="D5" s="46" t="n">
        <v>245.292904930522</v>
      </c>
    </row>
    <row r="6" customFormat="false" ht="13.5" hidden="false" customHeight="false" outlineLevel="0" collapsed="false">
      <c r="A6" s="5" t="s">
        <v>215</v>
      </c>
      <c r="B6" s="46" t="n">
        <v>809.972117970353</v>
      </c>
      <c r="C6" s="46" t="n">
        <v>1266.84</v>
      </c>
      <c r="D6" s="46" t="n">
        <v>456.867882029647</v>
      </c>
    </row>
    <row r="7" customFormat="false" ht="13.5" hidden="false" customHeight="false" outlineLevel="0" collapsed="false">
      <c r="A7" s="5" t="s">
        <v>217</v>
      </c>
      <c r="B7" s="46" t="n">
        <v>1300.86717514319</v>
      </c>
      <c r="C7" s="46" t="n">
        <v>1311</v>
      </c>
      <c r="D7" s="46" t="n">
        <v>10.132824856807</v>
      </c>
    </row>
    <row r="8" customFormat="false" ht="13.5" hidden="false" customHeight="false" outlineLevel="0" collapsed="false">
      <c r="A8" s="5" t="s">
        <v>220</v>
      </c>
      <c r="B8" s="46" t="n">
        <v>835.481544160471</v>
      </c>
      <c r="C8" s="46" t="n">
        <v>730.08</v>
      </c>
      <c r="D8" s="46" t="n">
        <v>-105.40154416047</v>
      </c>
    </row>
    <row r="9" customFormat="false" ht="13.5" hidden="false" customHeight="false" outlineLevel="0" collapsed="false">
      <c r="A9" s="5" t="s">
        <v>223</v>
      </c>
      <c r="B9" s="46" t="n">
        <v>522.660059205016</v>
      </c>
      <c r="C9" s="46" t="n">
        <v>344.31</v>
      </c>
      <c r="D9" s="46" t="n">
        <v>-178.350059205016</v>
      </c>
    </row>
    <row r="10" customFormat="false" ht="13.5" hidden="false" customHeight="false" outlineLevel="0" collapsed="false">
      <c r="A10" s="5" t="s">
        <v>225</v>
      </c>
      <c r="B10" s="46" t="n">
        <v>2502.23229562928</v>
      </c>
      <c r="C10" s="46" t="n">
        <v>3087.36</v>
      </c>
      <c r="D10" s="46" t="n">
        <v>585.127704370722</v>
      </c>
    </row>
    <row r="11" customFormat="false" ht="13.5" hidden="false" customHeight="false" outlineLevel="0" collapsed="false">
      <c r="A11" s="5" t="s">
        <v>228</v>
      </c>
      <c r="B11" s="46" t="n">
        <v>2422.63298436659</v>
      </c>
      <c r="C11" s="46" t="n">
        <v>3119.64</v>
      </c>
      <c r="D11" s="46" t="n">
        <v>697.007015633413</v>
      </c>
    </row>
    <row r="12" customFormat="false" ht="13.5" hidden="false" customHeight="false" outlineLevel="0" collapsed="false">
      <c r="A12" s="5" t="s">
        <v>231</v>
      </c>
      <c r="B12" s="46" t="n">
        <v>1608.15017619281</v>
      </c>
      <c r="C12" s="46" t="n">
        <v>1706.04</v>
      </c>
      <c r="D12" s="46" t="n">
        <v>97.8898238071924</v>
      </c>
    </row>
    <row r="13" customFormat="false" ht="13.5" hidden="false" customHeight="false" outlineLevel="0" collapsed="false">
      <c r="A13" s="5" t="s">
        <v>235</v>
      </c>
      <c r="B13" s="46" t="n">
        <v>5320.30322101152</v>
      </c>
      <c r="C13" s="46" t="n">
        <v>3672</v>
      </c>
      <c r="D13" s="46" t="n">
        <v>-1648.30322101152</v>
      </c>
    </row>
    <row r="14" customFormat="false" ht="13.5" hidden="false" customHeight="false" outlineLevel="0" collapsed="false">
      <c r="A14" s="5" t="s">
        <v>238</v>
      </c>
      <c r="B14" s="46" t="n">
        <v>1297.94805222033</v>
      </c>
      <c r="C14" s="46" t="n">
        <v>1328.64</v>
      </c>
      <c r="D14" s="46" t="n">
        <v>30.6919477796728</v>
      </c>
    </row>
    <row r="15" customFormat="false" ht="13.5" hidden="false" customHeight="false" outlineLevel="0" collapsed="false">
      <c r="A15" s="5" t="s">
        <v>241</v>
      </c>
      <c r="B15" s="46" t="n">
        <v>2487.72140021954</v>
      </c>
      <c r="C15" s="46" t="n">
        <v>2012.64</v>
      </c>
      <c r="D15" s="46" t="n">
        <v>-475.081400219543</v>
      </c>
    </row>
    <row r="16" customFormat="false" ht="13.5" hidden="false" customHeight="false" outlineLevel="0" collapsed="false">
      <c r="A16" s="5" t="s">
        <v>244</v>
      </c>
      <c r="B16" s="46" t="n">
        <v>2696.03763735527</v>
      </c>
      <c r="C16" s="46" t="n">
        <v>2382.84</v>
      </c>
      <c r="D16" s="46" t="n">
        <v>-313.197637355272</v>
      </c>
    </row>
    <row r="17" customFormat="false" ht="13.5" hidden="false" customHeight="false" outlineLevel="0" collapsed="false">
      <c r="A17" s="5" t="s">
        <v>247</v>
      </c>
      <c r="B17" s="46" t="n">
        <v>2243.32222001112</v>
      </c>
      <c r="C17" s="46" t="n">
        <v>2467.92</v>
      </c>
      <c r="D17" s="46" t="n">
        <v>224.597779988882</v>
      </c>
    </row>
    <row r="18" customFormat="false" ht="13.5" hidden="false" customHeight="false" outlineLevel="0" collapsed="false">
      <c r="A18" s="5" t="s">
        <v>250</v>
      </c>
      <c r="B18" s="46" t="n">
        <v>2574.20925092274</v>
      </c>
      <c r="C18" s="46" t="n">
        <v>2688.04</v>
      </c>
      <c r="D18" s="46" t="n">
        <v>113.830749077255</v>
      </c>
    </row>
    <row r="19" customFormat="false" ht="13.5" hidden="false" customHeight="false" outlineLevel="0" collapsed="false">
      <c r="A19" s="5" t="s">
        <v>253</v>
      </c>
      <c r="B19" s="46" t="n">
        <v>2427.74771642085</v>
      </c>
      <c r="C19" s="46" t="n">
        <v>3688.8</v>
      </c>
      <c r="D19" s="46" t="n">
        <v>1261.05228357915</v>
      </c>
    </row>
    <row r="20" customFormat="false" ht="13.5" hidden="false" customHeight="false" outlineLevel="0" collapsed="false">
      <c r="A20" s="5" t="s">
        <v>257</v>
      </c>
      <c r="B20" s="46" t="n">
        <v>1224.64562494895</v>
      </c>
      <c r="C20" s="46" t="n">
        <v>1455.96</v>
      </c>
      <c r="D20" s="46" t="n">
        <v>231.314375051048</v>
      </c>
    </row>
    <row r="21" customFormat="false" ht="13.5" hidden="false" customHeight="false" outlineLevel="0" collapsed="false">
      <c r="A21" s="5" t="s">
        <v>260</v>
      </c>
      <c r="B21" s="46" t="n">
        <v>2100.99544177223</v>
      </c>
      <c r="C21" s="46" t="n">
        <v>1713.36</v>
      </c>
      <c r="D21" s="46" t="n">
        <v>-387.635441772234</v>
      </c>
    </row>
    <row r="22" customFormat="false" ht="13.5" hidden="false" customHeight="false" outlineLevel="0" collapsed="false">
      <c r="A22" s="5" t="s">
        <v>263</v>
      </c>
      <c r="B22" s="46" t="n">
        <v>2618.93400697947</v>
      </c>
      <c r="C22" s="46" t="n">
        <v>2301.84</v>
      </c>
      <c r="D22" s="46" t="n">
        <v>-317.094006979474</v>
      </c>
    </row>
    <row r="23" customFormat="false" ht="13.5" hidden="false" customHeight="false" outlineLevel="0" collapsed="false">
      <c r="A23" s="5" t="s">
        <v>266</v>
      </c>
      <c r="B23" s="46" t="n">
        <v>1882.95131275488</v>
      </c>
      <c r="C23" s="46" t="n">
        <v>2059.8</v>
      </c>
      <c r="D23" s="46" t="n">
        <v>176.848687245118</v>
      </c>
    </row>
    <row r="24" customFormat="false" ht="13.5" hidden="false" customHeight="false" outlineLevel="0" collapsed="false">
      <c r="A24" s="5" t="s">
        <v>269</v>
      </c>
      <c r="B24" s="46" t="n">
        <v>2296.33858940663</v>
      </c>
      <c r="C24" s="46" t="n">
        <v>2334.36</v>
      </c>
      <c r="D24" s="46" t="n">
        <v>38.0214105933674</v>
      </c>
    </row>
    <row r="25" customFormat="false" ht="13.5" hidden="false" customHeight="false" outlineLevel="0" collapsed="false">
      <c r="A25" s="5" t="s">
        <v>272</v>
      </c>
      <c r="B25" s="46" t="n">
        <v>3438.20620677381</v>
      </c>
      <c r="C25" s="46" t="n">
        <v>2623.92</v>
      </c>
      <c r="D25" s="46" t="n">
        <v>-814.286206773806</v>
      </c>
    </row>
    <row r="26" customFormat="false" ht="13.5" hidden="false" customHeight="false" outlineLevel="0" collapsed="false">
      <c r="A26" s="5" t="s">
        <v>275</v>
      </c>
      <c r="B26" s="46" t="n">
        <v>3482.45068922082</v>
      </c>
      <c r="C26" s="46" t="n">
        <v>3965.52</v>
      </c>
      <c r="D26" s="46" t="n">
        <v>483.069310779184</v>
      </c>
    </row>
    <row r="27" customFormat="false" ht="13.5" hidden="false" customHeight="false" outlineLevel="0" collapsed="false">
      <c r="A27" s="5" t="s">
        <v>278</v>
      </c>
      <c r="B27" s="46" t="n">
        <v>1040.89600054236</v>
      </c>
      <c r="C27" s="46" t="n">
        <v>1004.28</v>
      </c>
      <c r="D27" s="46" t="n">
        <v>-36.6160005423581</v>
      </c>
    </row>
    <row r="28" customFormat="false" ht="13.5" hidden="false" customHeight="false" outlineLevel="0" collapsed="false">
      <c r="A28" s="5" t="s">
        <v>281</v>
      </c>
      <c r="B28" s="46" t="n">
        <v>518.609195098132</v>
      </c>
      <c r="C28" s="46" t="n">
        <v>562.8</v>
      </c>
      <c r="D28" s="46" t="n">
        <v>44.1908049018684</v>
      </c>
    </row>
    <row r="29" customFormat="false" ht="13.5" hidden="false" customHeight="false" outlineLevel="0" collapsed="false">
      <c r="A29" s="5" t="s">
        <v>284</v>
      </c>
      <c r="B29" s="46" t="n">
        <v>533.400337448185</v>
      </c>
      <c r="C29" s="46" t="n">
        <v>562.8</v>
      </c>
      <c r="D29" s="46" t="n">
        <v>29.3996625518154</v>
      </c>
    </row>
    <row r="30" customFormat="false" ht="13.5" hidden="false" customHeight="false" outlineLevel="0" collapsed="false">
      <c r="A30" s="5" t="s">
        <v>286</v>
      </c>
      <c r="B30" s="46" t="n">
        <v>618.633478999346</v>
      </c>
      <c r="C30" s="46" t="n">
        <v>572.37</v>
      </c>
      <c r="D30" s="46" t="n">
        <v>-46.263478999346</v>
      </c>
    </row>
    <row r="31" customFormat="false" ht="13.5" hidden="false" customHeight="false" outlineLevel="0" collapsed="false">
      <c r="A31" s="5" t="s">
        <v>289</v>
      </c>
      <c r="B31" s="46" t="n">
        <v>2138.83831618063</v>
      </c>
      <c r="C31" s="46" t="n">
        <v>1717.11</v>
      </c>
      <c r="D31" s="46" t="n">
        <v>-421.728316180626</v>
      </c>
    </row>
    <row r="32" customFormat="false" ht="13.5" hidden="false" customHeight="false" outlineLevel="0" collapsed="false">
      <c r="A32" s="5" t="s">
        <v>292</v>
      </c>
      <c r="B32" s="46" t="n">
        <v>4887.21323969362</v>
      </c>
      <c r="C32" s="46" t="n">
        <v>5001.48</v>
      </c>
      <c r="D32" s="46" t="n">
        <v>114.266760306383</v>
      </c>
    </row>
    <row r="33" customFormat="false" ht="13.5" hidden="false" customHeight="false" outlineLevel="0" collapsed="false">
      <c r="A33" s="5" t="s">
        <v>295</v>
      </c>
      <c r="B33" s="46" t="n">
        <v>3456.02495986125</v>
      </c>
      <c r="C33" s="46" t="n">
        <v>3684.52</v>
      </c>
      <c r="D33" s="46" t="n">
        <v>228.49504013875</v>
      </c>
    </row>
    <row r="34" customFormat="false" ht="13.5" hidden="false" customHeight="false" outlineLevel="0" collapsed="false">
      <c r="A34" s="5" t="s">
        <v>298</v>
      </c>
      <c r="B34" s="46" t="n">
        <v>3415.41803810746</v>
      </c>
      <c r="C34" s="46" t="n">
        <v>2973.24</v>
      </c>
      <c r="D34" s="46" t="n">
        <v>-442.178038107461</v>
      </c>
    </row>
    <row r="35" customFormat="false" ht="13.5" hidden="false" customHeight="false" outlineLevel="0" collapsed="false">
      <c r="A35" s="5" t="s">
        <v>301</v>
      </c>
      <c r="B35" s="46" t="n">
        <v>4506.49135787504</v>
      </c>
      <c r="C35" s="46" t="n">
        <v>5644.68</v>
      </c>
      <c r="D35" s="46" t="n">
        <v>1138.18864212496</v>
      </c>
    </row>
    <row r="39" customFormat="false" ht="13.5" hidden="false" customHeight="false" outlineLevel="0" collapsed="false">
      <c r="B39" s="46" t="n">
        <f aca="false">SUM(B2:B35)</f>
        <v>72332.1331545303</v>
      </c>
      <c r="C39" s="46" t="n">
        <f aca="false">Erfassung!E40-Übersicht!B39</f>
        <v>45.546845469682</v>
      </c>
    </row>
  </sheetData>
  <printOptions headings="false" gridLines="false" gridLinesSet="true" horizontalCentered="false" verticalCentered="false"/>
  <pageMargins left="0.7" right="0.7"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U1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G4" activeCellId="0" sqref="G4:G37"/>
    </sheetView>
  </sheetViews>
  <sheetFormatPr defaultColWidth="10.56640625" defaultRowHeight="13.5" zeroHeight="false" outlineLevelRow="0" outlineLevelCol="0"/>
  <cols>
    <col collapsed="false" customWidth="true" hidden="false" outlineLevel="0" max="1" min="1" style="0" width="35.5"/>
    <col collapsed="false" customWidth="true" hidden="false" outlineLevel="0" max="2" min="2" style="0" width="11.5"/>
    <col collapsed="false" customWidth="true" hidden="false" outlineLevel="0" max="3" min="3" style="0" width="17.5"/>
    <col collapsed="false" customWidth="true" hidden="false" outlineLevel="0" max="4" min="4" style="0" width="17.33"/>
    <col collapsed="false" customWidth="true" hidden="false" outlineLevel="0" max="5" min="5" style="0" width="16"/>
    <col collapsed="false" customWidth="true" hidden="false" outlineLevel="0" max="6" min="6" style="6" width="16"/>
    <col collapsed="false" customWidth="true" hidden="false" outlineLevel="0" max="7" min="7" style="6" width="18.15"/>
    <col collapsed="false" customWidth="true" hidden="false" outlineLevel="0" max="8" min="8" style="0" width="16"/>
    <col collapsed="false" customWidth="true" hidden="false" outlineLevel="0" max="9" min="9" style="0" width="21.75"/>
    <col collapsed="false" customWidth="true" hidden="false" outlineLevel="0" max="10" min="10" style="0" width="13.5"/>
    <col collapsed="false" customWidth="true" hidden="false" outlineLevel="0" max="11" min="11" style="0" width="14.25"/>
    <col collapsed="false" customWidth="true" hidden="false" outlineLevel="0" max="12" min="12" style="0" width="11"/>
    <col collapsed="false" customWidth="true" hidden="false" outlineLevel="0" max="13" min="13" style="0" width="16.25"/>
    <col collapsed="false" customWidth="true" hidden="false" outlineLevel="0" max="20" min="14" style="0" width="11"/>
    <col collapsed="false" customWidth="true" hidden="false" outlineLevel="0" max="21" min="21" style="0" width="20.83"/>
    <col collapsed="false" customWidth="true" hidden="false" outlineLevel="0" max="66" min="22" style="0" width="11"/>
  </cols>
  <sheetData>
    <row r="1" customFormat="false" ht="13.5" hidden="false" customHeight="false" outlineLevel="0" collapsed="false">
      <c r="A1" s="123" t="s">
        <v>384</v>
      </c>
      <c r="B1" s="123"/>
      <c r="C1" s="123" t="s">
        <v>385</v>
      </c>
      <c r="D1" s="124"/>
      <c r="E1" s="124"/>
      <c r="F1" s="124"/>
      <c r="G1" s="124"/>
      <c r="H1" s="124"/>
      <c r="I1" s="123"/>
      <c r="J1" s="123"/>
      <c r="K1" s="123"/>
      <c r="U1" s="123"/>
    </row>
    <row r="2" customFormat="false" ht="13.5" hidden="false" customHeight="false" outlineLevel="0" collapsed="false">
      <c r="A2" s="125"/>
      <c r="B2" s="125"/>
      <c r="C2" s="125"/>
      <c r="D2" s="126" t="s">
        <v>386</v>
      </c>
      <c r="E2" s="126" t="s">
        <v>387</v>
      </c>
      <c r="F2" s="126" t="s">
        <v>388</v>
      </c>
      <c r="G2" s="126"/>
      <c r="H2" s="126"/>
      <c r="I2" s="10"/>
      <c r="J2" s="127" t="s">
        <v>389</v>
      </c>
      <c r="K2" s="10" t="s">
        <v>390</v>
      </c>
      <c r="L2" s="0" t="s">
        <v>391</v>
      </c>
      <c r="M2" s="0" t="s">
        <v>392</v>
      </c>
      <c r="N2" s="0" t="s">
        <v>393</v>
      </c>
      <c r="O2" s="0" t="s">
        <v>394</v>
      </c>
      <c r="P2" s="0" t="s">
        <v>393</v>
      </c>
      <c r="Q2" s="0" t="s">
        <v>395</v>
      </c>
      <c r="R2" s="0" t="s">
        <v>396</v>
      </c>
      <c r="U2" s="125"/>
    </row>
    <row r="3" customFormat="false" ht="14.25" hidden="false" customHeight="false" outlineLevel="0" collapsed="false">
      <c r="A3" s="127" t="s">
        <v>202</v>
      </c>
      <c r="B3" s="127" t="s">
        <v>306</v>
      </c>
      <c r="C3" s="127" t="s">
        <v>389</v>
      </c>
      <c r="D3" s="128" t="s">
        <v>394</v>
      </c>
      <c r="E3" s="129" t="s">
        <v>397</v>
      </c>
      <c r="F3" s="130" t="n">
        <v>44562</v>
      </c>
      <c r="G3" s="130" t="s">
        <v>398</v>
      </c>
      <c r="H3" s="131" t="s">
        <v>396</v>
      </c>
      <c r="I3" s="127" t="s">
        <v>399</v>
      </c>
      <c r="J3" s="132" t="n">
        <v>95079471</v>
      </c>
      <c r="K3" s="132" t="n">
        <v>1487.213</v>
      </c>
      <c r="L3" s="0" t="n">
        <v>3644.482</v>
      </c>
      <c r="M3" s="0" t="n">
        <v>5883.61</v>
      </c>
      <c r="N3" s="0" t="n">
        <f aca="false">M3-L3</f>
        <v>2239.128</v>
      </c>
      <c r="O3" s="0" t="n">
        <v>8118.365</v>
      </c>
      <c r="P3" s="0" t="n">
        <f aca="false">O3-M3</f>
        <v>2234.755</v>
      </c>
      <c r="Q3" s="0" t="n">
        <v>10482.205</v>
      </c>
      <c r="R3" s="0" t="n">
        <f aca="false">Q3-O3</f>
        <v>2363.84</v>
      </c>
      <c r="U3" s="133"/>
    </row>
    <row r="4" customFormat="false" ht="13.5" hidden="false" customHeight="false" outlineLevel="0" collapsed="false">
      <c r="A4" s="134" t="s">
        <v>205</v>
      </c>
      <c r="B4" s="134" t="s">
        <v>204</v>
      </c>
      <c r="C4" s="134" t="n">
        <v>40110</v>
      </c>
      <c r="D4" s="135" t="n">
        <v>4057.77</v>
      </c>
      <c r="E4" s="136" t="n">
        <v>5143.59</v>
      </c>
      <c r="F4" s="136" t="n">
        <v>13017.71</v>
      </c>
      <c r="G4" s="136" t="n">
        <f aca="false">F4-E4</f>
        <v>7874.12</v>
      </c>
      <c r="H4" s="126" t="n">
        <v>1374.12</v>
      </c>
      <c r="I4" s="127" t="s">
        <v>400</v>
      </c>
      <c r="J4" s="137" t="n">
        <v>489603</v>
      </c>
      <c r="K4" s="132" t="n">
        <v>551.43</v>
      </c>
      <c r="L4" s="0" t="n">
        <v>1704.44</v>
      </c>
      <c r="M4" s="0" t="n">
        <v>2819.23</v>
      </c>
      <c r="N4" s="0" t="n">
        <f aca="false">M4-L4</f>
        <v>1114.79</v>
      </c>
      <c r="O4" s="0" t="n">
        <v>3940.8</v>
      </c>
      <c r="P4" s="6" t="n">
        <f aca="false">O4-M4</f>
        <v>1121.57</v>
      </c>
      <c r="Q4" s="0" t="n">
        <v>5154.54</v>
      </c>
      <c r="R4" s="6" t="n">
        <f aca="false">Q4-O4</f>
        <v>1213.74</v>
      </c>
      <c r="U4" s="138" t="n">
        <v>2919.92</v>
      </c>
    </row>
    <row r="5" customFormat="false" ht="13.5" hidden="false" customHeight="false" outlineLevel="0" collapsed="false">
      <c r="A5" s="134" t="s">
        <v>208</v>
      </c>
      <c r="B5" s="134" t="s">
        <v>207</v>
      </c>
      <c r="C5" s="134" t="n">
        <v>40124</v>
      </c>
      <c r="D5" s="135" t="n">
        <v>3037.03</v>
      </c>
      <c r="E5" s="139" t="n">
        <v>4187.17</v>
      </c>
      <c r="F5" s="139" t="n">
        <v>6452.57</v>
      </c>
      <c r="G5" s="136" t="n">
        <f aca="false">F5-E5</f>
        <v>2265.4</v>
      </c>
      <c r="H5" s="126" t="n">
        <f aca="false">D5-E5</f>
        <v>-1150.14</v>
      </c>
      <c r="I5" s="127" t="s">
        <v>401</v>
      </c>
      <c r="J5" s="137" t="n">
        <v>68169731</v>
      </c>
      <c r="K5" s="132" t="n">
        <v>288.657</v>
      </c>
      <c r="L5" s="0" t="n">
        <v>557.179</v>
      </c>
      <c r="M5" s="0" t="n">
        <v>811.997</v>
      </c>
      <c r="N5" s="0" t="n">
        <f aca="false">M5-L5</f>
        <v>254.818</v>
      </c>
      <c r="O5" s="0" t="n">
        <v>1079.278</v>
      </c>
      <c r="P5" s="6" t="n">
        <f aca="false">O5-M5</f>
        <v>267.281</v>
      </c>
      <c r="Q5" s="0" t="n">
        <v>1253.996</v>
      </c>
      <c r="R5" s="6" t="n">
        <f aca="false">Q5-O5</f>
        <v>174.718</v>
      </c>
      <c r="U5" s="138" t="n">
        <v>2030.29</v>
      </c>
    </row>
    <row r="6" s="6" customFormat="true" ht="13.5" hidden="false" customHeight="false" outlineLevel="0" collapsed="false">
      <c r="A6" s="140" t="s">
        <v>208</v>
      </c>
      <c r="B6" s="140" t="s">
        <v>210</v>
      </c>
      <c r="C6" s="140" t="s">
        <v>402</v>
      </c>
      <c r="D6" s="141" t="n">
        <v>4187.17</v>
      </c>
      <c r="E6" s="142" t="n">
        <v>4502.57</v>
      </c>
      <c r="F6" s="142" t="n">
        <v>6486.97</v>
      </c>
      <c r="G6" s="136" t="n">
        <f aca="false">F6-E6</f>
        <v>1984.4</v>
      </c>
      <c r="H6" s="126" t="n">
        <f aca="false">D6-E6</f>
        <v>-315.4</v>
      </c>
      <c r="I6" s="143"/>
      <c r="J6" s="144"/>
      <c r="K6" s="144"/>
      <c r="U6" s="145"/>
    </row>
    <row r="7" s="6" customFormat="true" ht="13.5" hidden="false" customHeight="false" outlineLevel="0" collapsed="false">
      <c r="A7" s="140" t="s">
        <v>213</v>
      </c>
      <c r="B7" s="140" t="s">
        <v>212</v>
      </c>
      <c r="C7" s="140" t="n">
        <v>40127</v>
      </c>
      <c r="D7" s="141" t="n">
        <v>4755.23</v>
      </c>
      <c r="E7" s="142" t="n">
        <v>6111.24</v>
      </c>
      <c r="F7" s="142" t="n">
        <v>9100</v>
      </c>
      <c r="G7" s="136" t="n">
        <f aca="false">F7-E7</f>
        <v>2988.76</v>
      </c>
      <c r="H7" s="146" t="n">
        <f aca="false">E7-D7</f>
        <v>1356.01</v>
      </c>
      <c r="I7" s="147"/>
      <c r="U7" s="145" t="n">
        <v>4227.49</v>
      </c>
    </row>
    <row r="8" s="6" customFormat="true" ht="13.5" hidden="false" customHeight="false" outlineLevel="0" collapsed="false">
      <c r="A8" s="140"/>
      <c r="B8" s="140" t="s">
        <v>215</v>
      </c>
      <c r="C8" s="140" t="s">
        <v>403</v>
      </c>
      <c r="D8" s="141"/>
      <c r="E8" s="142" t="n">
        <v>6500</v>
      </c>
      <c r="F8" s="142" t="n">
        <v>9418.41</v>
      </c>
      <c r="G8" s="136" t="n">
        <f aca="false">F8-E8</f>
        <v>2918.41</v>
      </c>
      <c r="H8" s="146"/>
      <c r="I8" s="147"/>
      <c r="U8" s="145"/>
    </row>
    <row r="9" s="6" customFormat="true" ht="13.5" hidden="false" customHeight="false" outlineLevel="0" collapsed="false">
      <c r="A9" s="134" t="s">
        <v>218</v>
      </c>
      <c r="B9" s="134" t="s">
        <v>217</v>
      </c>
      <c r="C9" s="134" t="s">
        <v>404</v>
      </c>
      <c r="D9" s="135" t="n">
        <v>3365.26</v>
      </c>
      <c r="E9" s="139" t="n">
        <v>4128.65</v>
      </c>
      <c r="F9" s="139" t="n">
        <v>8808.94</v>
      </c>
      <c r="G9" s="136" t="n">
        <f aca="false">F9-E9</f>
        <v>4680.29</v>
      </c>
      <c r="H9" s="126" t="n">
        <f aca="false">E9-D9</f>
        <v>763.389999999999</v>
      </c>
      <c r="I9" s="10"/>
      <c r="J9" s="42"/>
      <c r="U9" s="138" t="n">
        <v>3206.64</v>
      </c>
    </row>
    <row r="10" s="6" customFormat="true" ht="13.5" hidden="false" customHeight="false" outlineLevel="0" collapsed="false">
      <c r="A10" s="134" t="s">
        <v>221</v>
      </c>
      <c r="B10" s="134" t="s">
        <v>220</v>
      </c>
      <c r="C10" s="134" t="n">
        <v>40146</v>
      </c>
      <c r="D10" s="135" t="n">
        <v>2242.9</v>
      </c>
      <c r="E10" s="139" t="n">
        <v>4719.45</v>
      </c>
      <c r="F10" s="139" t="n">
        <v>10200</v>
      </c>
      <c r="G10" s="136" t="n">
        <f aca="false">F10-E10</f>
        <v>5480.55</v>
      </c>
      <c r="H10" s="126" t="n">
        <f aca="false">E10-D10</f>
        <v>2476.55</v>
      </c>
      <c r="I10" s="10"/>
      <c r="U10" s="138" t="n">
        <v>1451.86</v>
      </c>
    </row>
    <row r="11" s="6" customFormat="true" ht="13.5" hidden="false" customHeight="false" outlineLevel="0" collapsed="false">
      <c r="A11" s="134" t="s">
        <v>221</v>
      </c>
      <c r="B11" s="134" t="s">
        <v>223</v>
      </c>
      <c r="C11" s="134" t="s">
        <v>405</v>
      </c>
      <c r="D11" s="135"/>
      <c r="E11" s="139" t="n">
        <v>5000</v>
      </c>
      <c r="F11" s="139" t="n">
        <v>13835.88</v>
      </c>
      <c r="G11" s="136" t="n">
        <f aca="false">F11-E11</f>
        <v>8835.88</v>
      </c>
      <c r="H11" s="126"/>
      <c r="I11" s="10"/>
      <c r="U11" s="138"/>
    </row>
    <row r="12" customFormat="false" ht="13.5" hidden="false" customHeight="false" outlineLevel="0" collapsed="false">
      <c r="A12" s="134" t="s">
        <v>226</v>
      </c>
      <c r="B12" s="134" t="s">
        <v>225</v>
      </c>
      <c r="C12" s="134" t="n">
        <v>40137</v>
      </c>
      <c r="D12" s="135" t="n">
        <v>16424.99</v>
      </c>
      <c r="E12" s="139" t="n">
        <v>21645.05</v>
      </c>
      <c r="F12" s="139" t="n">
        <v>30445.98</v>
      </c>
      <c r="G12" s="136" t="n">
        <f aca="false">F12-E12</f>
        <v>8800.93</v>
      </c>
      <c r="H12" s="126" t="n">
        <f aca="false">E12-D12</f>
        <v>5220.06</v>
      </c>
      <c r="I12" s="10"/>
      <c r="U12" s="138" t="n">
        <v>12097.52</v>
      </c>
    </row>
    <row r="13" customFormat="false" ht="13.5" hidden="false" customHeight="false" outlineLevel="0" collapsed="false">
      <c r="A13" s="134" t="s">
        <v>229</v>
      </c>
      <c r="B13" s="134" t="s">
        <v>228</v>
      </c>
      <c r="C13" s="134" t="n">
        <v>40122</v>
      </c>
      <c r="D13" s="135" t="n">
        <v>7380.04</v>
      </c>
      <c r="E13" s="139" t="n">
        <v>9061.62</v>
      </c>
      <c r="F13" s="139" t="n">
        <v>14317.93</v>
      </c>
      <c r="G13" s="136" t="n">
        <f aca="false">F13-E13</f>
        <v>5256.31</v>
      </c>
      <c r="H13" s="126" t="n">
        <f aca="false">E13-D13</f>
        <v>1681.58</v>
      </c>
      <c r="I13" s="10"/>
      <c r="U13" s="138" t="n">
        <v>5191.68</v>
      </c>
    </row>
    <row r="14" s="6" customFormat="true" ht="13.5" hidden="false" customHeight="false" outlineLevel="0" collapsed="false">
      <c r="A14" s="134" t="s">
        <v>232</v>
      </c>
      <c r="B14" s="134" t="s">
        <v>231</v>
      </c>
      <c r="C14" s="134" t="s">
        <v>406</v>
      </c>
      <c r="D14" s="148" t="n">
        <v>4518.31</v>
      </c>
      <c r="E14" s="139" t="n">
        <v>4682.49</v>
      </c>
      <c r="F14" s="139" t="n">
        <v>8854.41</v>
      </c>
      <c r="G14" s="136" t="n">
        <f aca="false">F14-E14</f>
        <v>4171.92</v>
      </c>
      <c r="H14" s="126" t="n">
        <f aca="false">E14-D14</f>
        <v>164.179999999999</v>
      </c>
      <c r="I14" s="10"/>
    </row>
    <row r="15" s="6" customFormat="true" ht="13.5" hidden="false" customHeight="false" outlineLevel="0" collapsed="false">
      <c r="A15" s="134" t="s">
        <v>332</v>
      </c>
      <c r="B15" s="134" t="s">
        <v>235</v>
      </c>
      <c r="C15" s="134" t="s">
        <v>407</v>
      </c>
      <c r="D15" s="135" t="n">
        <v>4954.21</v>
      </c>
      <c r="E15" s="139" t="n">
        <v>7023.45</v>
      </c>
      <c r="F15" s="139" t="n">
        <v>11180.82</v>
      </c>
      <c r="G15" s="136" t="n">
        <f aca="false">F15-E15</f>
        <v>4157.37</v>
      </c>
      <c r="H15" s="126" t="n">
        <f aca="false">E15-D15</f>
        <v>2069.24</v>
      </c>
      <c r="I15" s="10"/>
      <c r="U15" s="138"/>
    </row>
    <row r="16" customFormat="false" ht="13.5" hidden="false" customHeight="false" outlineLevel="0" collapsed="false">
      <c r="A16" s="134" t="s">
        <v>239</v>
      </c>
      <c r="B16" s="134" t="s">
        <v>238</v>
      </c>
      <c r="C16" s="134" t="n">
        <v>40153</v>
      </c>
      <c r="D16" s="135" t="n">
        <v>4909.22</v>
      </c>
      <c r="E16" s="139" t="n">
        <v>6271.66</v>
      </c>
      <c r="F16" s="139" t="n">
        <v>12973.95</v>
      </c>
      <c r="G16" s="136" t="n">
        <f aca="false">F16-E16</f>
        <v>6702.29</v>
      </c>
      <c r="H16" s="126" t="n">
        <f aca="false">E16-D16</f>
        <v>1362.44</v>
      </c>
      <c r="I16" s="10"/>
      <c r="U16" s="138" t="n">
        <v>3673.96</v>
      </c>
    </row>
    <row r="17" customFormat="false" ht="13.5" hidden="false" customHeight="false" outlineLevel="0" collapsed="false">
      <c r="A17" s="134" t="s">
        <v>242</v>
      </c>
      <c r="B17" s="134" t="s">
        <v>241</v>
      </c>
      <c r="C17" s="134" t="n">
        <v>40151</v>
      </c>
      <c r="D17" s="135" t="n">
        <v>5442.18</v>
      </c>
      <c r="E17" s="139" t="n">
        <v>7309.87</v>
      </c>
      <c r="F17" s="139" t="n">
        <v>14525.81</v>
      </c>
      <c r="G17" s="136" t="n">
        <f aca="false">F17-E17</f>
        <v>7215.94</v>
      </c>
      <c r="H17" s="126" t="n">
        <f aca="false">E17-D17</f>
        <v>1867.69</v>
      </c>
      <c r="I17" s="10"/>
      <c r="U17" s="138" t="n">
        <v>3845.73</v>
      </c>
    </row>
    <row r="18" s="6" customFormat="true" ht="13.5" hidden="false" customHeight="false" outlineLevel="0" collapsed="false">
      <c r="A18" s="134" t="s">
        <v>336</v>
      </c>
      <c r="B18" s="134" t="s">
        <v>244</v>
      </c>
      <c r="C18" s="134" t="s">
        <v>408</v>
      </c>
      <c r="D18" s="135" t="n">
        <v>2376.43</v>
      </c>
      <c r="E18" s="139" t="n">
        <v>3210.53</v>
      </c>
      <c r="F18" s="139" t="n">
        <v>7044.56</v>
      </c>
      <c r="G18" s="136" t="n">
        <f aca="false">F18-E18</f>
        <v>3834.03</v>
      </c>
      <c r="H18" s="126" t="n">
        <f aca="false">E18-D18</f>
        <v>834.1</v>
      </c>
      <c r="I18" s="10"/>
      <c r="U18" s="138"/>
    </row>
    <row r="19" customFormat="false" ht="13.5" hidden="false" customHeight="false" outlineLevel="0" collapsed="false">
      <c r="A19" s="134" t="s">
        <v>248</v>
      </c>
      <c r="B19" s="134" t="s">
        <v>247</v>
      </c>
      <c r="C19" s="134" t="n">
        <v>40120</v>
      </c>
      <c r="D19" s="135" t="n">
        <v>5469.48</v>
      </c>
      <c r="E19" s="139" t="n">
        <v>6777.9</v>
      </c>
      <c r="F19" s="139" t="n">
        <v>9383.92</v>
      </c>
      <c r="G19" s="136" t="n">
        <f aca="false">F19-E19</f>
        <v>2606.02</v>
      </c>
      <c r="H19" s="126" t="n">
        <f aca="false">E19-D19</f>
        <v>1308.42</v>
      </c>
      <c r="I19" s="10"/>
      <c r="U19" s="138" t="n">
        <v>4221.58</v>
      </c>
    </row>
    <row r="20" customFormat="false" ht="13.5" hidden="false" customHeight="false" outlineLevel="0" collapsed="false">
      <c r="A20" s="134" t="s">
        <v>251</v>
      </c>
      <c r="B20" s="134" t="s">
        <v>250</v>
      </c>
      <c r="C20" s="134" t="n">
        <v>40159</v>
      </c>
      <c r="D20" s="135" t="n">
        <v>10641.39</v>
      </c>
      <c r="E20" s="139" t="n">
        <v>13785.27</v>
      </c>
      <c r="F20" s="139" t="n">
        <v>20554.32</v>
      </c>
      <c r="G20" s="136" t="n">
        <f aca="false">F20-E20</f>
        <v>6769.05</v>
      </c>
      <c r="H20" s="126" t="n">
        <f aca="false">E20-D20</f>
        <v>3143.88</v>
      </c>
      <c r="I20" s="10"/>
      <c r="U20" s="138" t="n">
        <v>7818.93</v>
      </c>
    </row>
    <row r="21" customFormat="false" ht="13.5" hidden="false" customHeight="false" outlineLevel="0" collapsed="false">
      <c r="A21" s="134" t="s">
        <v>254</v>
      </c>
      <c r="B21" s="134" t="s">
        <v>253</v>
      </c>
      <c r="C21" s="134" t="n">
        <v>40167</v>
      </c>
      <c r="D21" s="135" t="n">
        <v>5158.67</v>
      </c>
      <c r="E21" s="139" t="n">
        <v>6688.92</v>
      </c>
      <c r="F21" s="139" t="n">
        <v>15485.86</v>
      </c>
      <c r="G21" s="136" t="n">
        <f aca="false">F21-E21</f>
        <v>8796.94</v>
      </c>
      <c r="H21" s="126" t="n">
        <f aca="false">E21-D21</f>
        <v>1530.25</v>
      </c>
      <c r="I21" s="10"/>
      <c r="U21" s="138" t="n">
        <v>3865.9</v>
      </c>
    </row>
    <row r="22" customFormat="false" ht="13.5" hidden="false" customHeight="false" outlineLevel="0" collapsed="false">
      <c r="A22" s="134" t="s">
        <v>258</v>
      </c>
      <c r="B22" s="134" t="s">
        <v>257</v>
      </c>
      <c r="C22" s="134" t="n">
        <v>40160</v>
      </c>
      <c r="D22" s="135" t="n">
        <v>2735.67</v>
      </c>
      <c r="E22" s="139" t="n">
        <v>3359.33</v>
      </c>
      <c r="F22" s="139" t="n">
        <v>5364.17</v>
      </c>
      <c r="G22" s="136" t="n">
        <f aca="false">F22-E22</f>
        <v>2004.84</v>
      </c>
      <c r="H22" s="126" t="n">
        <f aca="false">E22-D22</f>
        <v>623.66</v>
      </c>
      <c r="I22" s="10"/>
      <c r="U22" s="138" t="n">
        <v>2071.48</v>
      </c>
    </row>
    <row r="23" customFormat="false" ht="13.5" hidden="false" customHeight="false" outlineLevel="0" collapsed="false">
      <c r="A23" s="134" t="s">
        <v>261</v>
      </c>
      <c r="B23" s="134" t="s">
        <v>260</v>
      </c>
      <c r="C23" s="134" t="n">
        <v>40161</v>
      </c>
      <c r="D23" s="135" t="n">
        <v>2737.28</v>
      </c>
      <c r="E23" s="139" t="n">
        <v>3782.02</v>
      </c>
      <c r="F23" s="139" t="n">
        <v>11599.21</v>
      </c>
      <c r="G23" s="136" t="n">
        <f aca="false">F23-E23</f>
        <v>7817.19</v>
      </c>
      <c r="H23" s="126" t="n">
        <f aca="false">E23-D23</f>
        <v>1044.74</v>
      </c>
      <c r="I23" s="10"/>
      <c r="U23" s="138" t="n">
        <v>1700.36</v>
      </c>
    </row>
    <row r="24" customFormat="false" ht="13.5" hidden="false" customHeight="false" outlineLevel="0" collapsed="false">
      <c r="A24" s="134" t="s">
        <v>264</v>
      </c>
      <c r="B24" s="134" t="s">
        <v>263</v>
      </c>
      <c r="C24" s="134" t="n">
        <v>40147</v>
      </c>
      <c r="D24" s="135" t="n">
        <v>4399.49</v>
      </c>
      <c r="E24" s="139" t="n">
        <v>5903.38</v>
      </c>
      <c r="F24" s="139" t="n">
        <v>12029.13</v>
      </c>
      <c r="G24" s="136" t="n">
        <f aca="false">F24-E24</f>
        <v>6125.75</v>
      </c>
      <c r="H24" s="126" t="n">
        <f aca="false">E24-D24</f>
        <v>1503.89</v>
      </c>
      <c r="I24" s="10"/>
      <c r="U24" s="138" t="n">
        <v>3137.77</v>
      </c>
    </row>
    <row r="25" customFormat="false" ht="13.5" hidden="false" customHeight="false" outlineLevel="0" collapsed="false">
      <c r="A25" s="134" t="s">
        <v>267</v>
      </c>
      <c r="B25" s="134" t="s">
        <v>266</v>
      </c>
      <c r="C25" s="134" t="n">
        <v>40165</v>
      </c>
      <c r="D25" s="135" t="n">
        <v>3385.38</v>
      </c>
      <c r="E25" s="139" t="n">
        <v>4367.26</v>
      </c>
      <c r="F25" s="139" t="n">
        <v>9236.14</v>
      </c>
      <c r="G25" s="136" t="n">
        <f aca="false">F25-E25</f>
        <v>4868.88</v>
      </c>
      <c r="H25" s="126" t="n">
        <f aca="false">E25-D25</f>
        <v>981.88</v>
      </c>
      <c r="I25" s="10"/>
      <c r="U25" s="138" t="n">
        <v>2516.02</v>
      </c>
    </row>
    <row r="26" customFormat="false" ht="13.5" hidden="false" customHeight="false" outlineLevel="0" collapsed="false">
      <c r="A26" s="134" t="s">
        <v>270</v>
      </c>
      <c r="B26" s="134" t="s">
        <v>269</v>
      </c>
      <c r="C26" s="134" t="n">
        <v>40164</v>
      </c>
      <c r="D26" s="135" t="n">
        <v>5287.11</v>
      </c>
      <c r="E26" s="139" t="n">
        <v>7395.2</v>
      </c>
      <c r="F26" s="139" t="n">
        <v>10964.92</v>
      </c>
      <c r="G26" s="136" t="n">
        <f aca="false">F26-E26</f>
        <v>3569.72</v>
      </c>
      <c r="H26" s="126" t="n">
        <f aca="false">E26-D26</f>
        <v>2108.09</v>
      </c>
      <c r="I26" s="10"/>
      <c r="U26" s="138" t="n">
        <v>3770.39</v>
      </c>
    </row>
    <row r="27" s="6" customFormat="true" ht="13.5" hidden="false" customHeight="false" outlineLevel="0" collapsed="false">
      <c r="A27" s="134" t="s">
        <v>273</v>
      </c>
      <c r="B27" s="134" t="s">
        <v>272</v>
      </c>
      <c r="C27" s="134" t="n">
        <v>40150</v>
      </c>
      <c r="D27" s="135" t="n">
        <v>3724.56</v>
      </c>
      <c r="E27" s="139" t="n">
        <v>4975.25</v>
      </c>
      <c r="F27" s="139" t="n">
        <v>7845.12</v>
      </c>
      <c r="G27" s="136" t="n">
        <f aca="false">F27-E27</f>
        <v>2869.87</v>
      </c>
      <c r="H27" s="126" t="n">
        <f aca="false">E27-D27</f>
        <v>1250.69</v>
      </c>
      <c r="I27" s="10"/>
      <c r="U27" s="138" t="n">
        <v>3169.71</v>
      </c>
    </row>
    <row r="28" customFormat="false" ht="13.5" hidden="false" customHeight="false" outlineLevel="0" collapsed="false">
      <c r="A28" s="134" t="s">
        <v>276</v>
      </c>
      <c r="B28" s="134" t="s">
        <v>275</v>
      </c>
      <c r="C28" s="134" t="n">
        <v>40143</v>
      </c>
      <c r="D28" s="135" t="n">
        <v>6381.04</v>
      </c>
      <c r="E28" s="139" t="n">
        <v>8139.08</v>
      </c>
      <c r="F28" s="139" t="n">
        <v>13794.19</v>
      </c>
      <c r="G28" s="136" t="n">
        <f aca="false">F28-E28</f>
        <v>5655.11</v>
      </c>
      <c r="H28" s="126" t="n">
        <f aca="false">E28-D28</f>
        <v>1758.04</v>
      </c>
      <c r="I28" s="10"/>
      <c r="U28" s="138" t="n">
        <v>4787.45</v>
      </c>
    </row>
    <row r="29" customFormat="false" ht="13.5" hidden="false" customHeight="false" outlineLevel="0" collapsed="false">
      <c r="A29" s="134" t="s">
        <v>279</v>
      </c>
      <c r="B29" s="134" t="s">
        <v>278</v>
      </c>
      <c r="C29" s="134" t="n">
        <v>40144</v>
      </c>
      <c r="D29" s="135" t="n">
        <v>2826.8</v>
      </c>
      <c r="E29" s="139" t="n">
        <v>3811.42</v>
      </c>
      <c r="F29" s="139" t="n">
        <v>11914.46</v>
      </c>
      <c r="G29" s="136" t="n">
        <f aca="false">F29-E29</f>
        <v>8103.04</v>
      </c>
      <c r="H29" s="126" t="n">
        <f aca="false">E29-D29</f>
        <v>984.62</v>
      </c>
      <c r="I29" s="10"/>
      <c r="U29" s="138" t="n">
        <v>1905.58</v>
      </c>
    </row>
    <row r="30" customFormat="false" ht="13.5" hidden="false" customHeight="false" outlineLevel="0" collapsed="false">
      <c r="A30" s="134" t="s">
        <v>282</v>
      </c>
      <c r="B30" s="134" t="s">
        <v>281</v>
      </c>
      <c r="C30" s="134" t="n">
        <v>40136</v>
      </c>
      <c r="D30" s="135" t="n">
        <v>1895.5</v>
      </c>
      <c r="E30" s="139" t="n">
        <v>2358.83</v>
      </c>
      <c r="F30" s="139" t="n">
        <v>10370.14</v>
      </c>
      <c r="G30" s="136" t="n">
        <f aca="false">F30-E30</f>
        <v>8011.31</v>
      </c>
      <c r="H30" s="126" t="n">
        <f aca="false">E30-D30</f>
        <v>463.33</v>
      </c>
      <c r="I30" s="10"/>
      <c r="U30" s="138" t="n">
        <v>1380.67</v>
      </c>
    </row>
    <row r="31" s="6" customFormat="true" ht="13.5" hidden="false" customHeight="false" outlineLevel="0" collapsed="false">
      <c r="A31" s="134" t="s">
        <v>282</v>
      </c>
      <c r="B31" s="134" t="s">
        <v>284</v>
      </c>
      <c r="C31" s="134" t="s">
        <v>409</v>
      </c>
      <c r="D31" s="135"/>
      <c r="E31" s="139" t="n">
        <v>2570.14</v>
      </c>
      <c r="F31" s="139" t="n">
        <v>5425.65</v>
      </c>
      <c r="G31" s="136" t="n">
        <f aca="false">F31-E31</f>
        <v>2855.51</v>
      </c>
      <c r="H31" s="126"/>
      <c r="I31" s="10"/>
      <c r="U31" s="138"/>
    </row>
    <row r="32" customFormat="false" ht="13.5" hidden="false" customHeight="false" outlineLevel="0" collapsed="false">
      <c r="A32" s="134" t="s">
        <v>287</v>
      </c>
      <c r="B32" s="134" t="s">
        <v>286</v>
      </c>
      <c r="C32" s="134" t="n">
        <v>40138</v>
      </c>
      <c r="D32" s="135" t="n">
        <v>3221.57</v>
      </c>
      <c r="E32" s="139" t="n">
        <v>4391.4</v>
      </c>
      <c r="F32" s="139" t="n">
        <v>7185.97</v>
      </c>
      <c r="G32" s="136" t="n">
        <f aca="false">F32-E32</f>
        <v>2794.57</v>
      </c>
      <c r="H32" s="126" t="n">
        <f aca="false">E32-D32</f>
        <v>1169.83</v>
      </c>
      <c r="I32" s="10"/>
      <c r="U32" s="138" t="n">
        <v>2161.5</v>
      </c>
    </row>
    <row r="33" s="6" customFormat="true" ht="13.5" hidden="false" customHeight="false" outlineLevel="0" collapsed="false">
      <c r="A33" s="134" t="s">
        <v>287</v>
      </c>
      <c r="B33" s="134" t="s">
        <v>289</v>
      </c>
      <c r="C33" s="134" t="s">
        <v>410</v>
      </c>
      <c r="D33" s="135"/>
      <c r="E33" s="139" t="n">
        <v>4585.97</v>
      </c>
      <c r="F33" s="139" t="n">
        <v>9490.09</v>
      </c>
      <c r="G33" s="136" t="n">
        <f aca="false">F33-E33</f>
        <v>4904.12</v>
      </c>
      <c r="H33" s="126" t="n">
        <f aca="false">E33-D33</f>
        <v>4585.97</v>
      </c>
      <c r="I33" s="10"/>
      <c r="U33" s="138"/>
    </row>
    <row r="34" customFormat="false" ht="13.5" hidden="false" customHeight="false" outlineLevel="0" collapsed="false">
      <c r="A34" s="134" t="s">
        <v>293</v>
      </c>
      <c r="B34" s="134" t="s">
        <v>292</v>
      </c>
      <c r="C34" s="134" t="n">
        <v>40155</v>
      </c>
      <c r="D34" s="135" t="n">
        <v>8132.41</v>
      </c>
      <c r="E34" s="139" t="n">
        <v>10391.37</v>
      </c>
      <c r="F34" s="139" t="n">
        <v>15526.95</v>
      </c>
      <c r="G34" s="136" t="n">
        <f aca="false">F34-E34</f>
        <v>5135.58</v>
      </c>
      <c r="H34" s="126" t="n">
        <f aca="false">E34-D34</f>
        <v>2258.96</v>
      </c>
      <c r="I34" s="10"/>
      <c r="U34" s="138" t="n">
        <v>6138.12</v>
      </c>
    </row>
    <row r="35" customFormat="false" ht="13.5" hidden="false" customHeight="false" outlineLevel="0" collapsed="false">
      <c r="A35" s="134" t="s">
        <v>296</v>
      </c>
      <c r="B35" s="134" t="s">
        <v>295</v>
      </c>
      <c r="C35" s="134" t="n">
        <v>40157</v>
      </c>
      <c r="D35" s="135" t="n">
        <v>7044.38</v>
      </c>
      <c r="E35" s="139" t="n">
        <v>8957.24</v>
      </c>
      <c r="F35" s="139" t="n">
        <v>16427.82</v>
      </c>
      <c r="G35" s="136" t="n">
        <f aca="false">F35-E35</f>
        <v>7470.58</v>
      </c>
      <c r="H35" s="126" t="n">
        <f aca="false">E35-D35</f>
        <v>1912.86</v>
      </c>
      <c r="I35" s="10"/>
      <c r="U35" s="138" t="n">
        <v>5309.41</v>
      </c>
    </row>
    <row r="36" customFormat="false" ht="13.5" hidden="false" customHeight="false" outlineLevel="0" collapsed="false">
      <c r="A36" s="134" t="s">
        <v>299</v>
      </c>
      <c r="B36" s="134" t="s">
        <v>298</v>
      </c>
      <c r="C36" s="134" t="n">
        <v>40142</v>
      </c>
      <c r="D36" s="135" t="n">
        <v>7451.12</v>
      </c>
      <c r="E36" s="139" t="n">
        <v>10519.92</v>
      </c>
      <c r="F36" s="149" t="n">
        <v>18716.72</v>
      </c>
      <c r="G36" s="136" t="n">
        <f aca="false">F36-E36</f>
        <v>8196.8</v>
      </c>
      <c r="H36" s="126" t="n">
        <f aca="false">E36-D36</f>
        <v>3068.8</v>
      </c>
      <c r="I36" s="10"/>
      <c r="U36" s="138" t="n">
        <v>5354.14</v>
      </c>
    </row>
    <row r="37" s="6" customFormat="true" ht="13.5" hidden="false" customHeight="false" outlineLevel="0" collapsed="false">
      <c r="A37" s="134" t="s">
        <v>302</v>
      </c>
      <c r="B37" s="134" t="s">
        <v>301</v>
      </c>
      <c r="C37" s="134" t="n">
        <v>40128</v>
      </c>
      <c r="D37" s="135" t="n">
        <v>10014.88</v>
      </c>
      <c r="E37" s="139" t="n">
        <v>11911.27</v>
      </c>
      <c r="F37" s="139" t="n">
        <v>21787.15</v>
      </c>
      <c r="G37" s="136" t="n">
        <f aca="false">F37-E37</f>
        <v>9875.88</v>
      </c>
      <c r="H37" s="126" t="n">
        <f aca="false">E37-D37</f>
        <v>1896.39</v>
      </c>
      <c r="I37" s="10"/>
      <c r="U37" s="138" t="n">
        <v>9332.09</v>
      </c>
    </row>
    <row r="38" s="6" customFormat="true" ht="13.5" hidden="false" customHeight="false" outlineLevel="0" collapsed="false">
      <c r="A38" s="150"/>
      <c r="B38" s="103"/>
      <c r="C38" s="103"/>
      <c r="D38" s="151" t="n">
        <f aca="false">SUM(D4:D37)</f>
        <v>158157.47</v>
      </c>
      <c r="E38" s="140"/>
      <c r="F38" s="140"/>
      <c r="G38" s="134" t="n">
        <f aca="false">F38-E38</f>
        <v>0</v>
      </c>
      <c r="H38" s="146"/>
      <c r="U38" s="146"/>
    </row>
    <row r="39" s="6" customFormat="true" ht="13.5" hidden="false" customHeight="false" outlineLevel="0" collapsed="false">
      <c r="A39" s="103"/>
      <c r="B39" s="103"/>
      <c r="C39" s="103"/>
      <c r="D39" s="104"/>
      <c r="E39" s="104"/>
      <c r="F39" s="104"/>
      <c r="G39" s="134" t="n">
        <f aca="false">F39-E39</f>
        <v>0</v>
      </c>
      <c r="H39" s="126" t="n">
        <f aca="false">E39-D39</f>
        <v>0</v>
      </c>
      <c r="U39" s="126"/>
    </row>
    <row r="40" s="6" customFormat="true" ht="13.5" hidden="false" customHeight="false" outlineLevel="0" collapsed="false">
      <c r="A40" s="103"/>
      <c r="B40" s="103"/>
      <c r="C40" s="103"/>
      <c r="D40" s="104"/>
      <c r="E40" s="104"/>
      <c r="F40" s="104"/>
      <c r="G40" s="134" t="n">
        <f aca="false">F40-E40</f>
        <v>0</v>
      </c>
      <c r="H40" s="126" t="n">
        <f aca="false">E40-D40</f>
        <v>0</v>
      </c>
      <c r="I40" s="6" t="s">
        <v>411</v>
      </c>
      <c r="U40" s="126"/>
    </row>
    <row r="41" s="6" customFormat="true" ht="14.25" hidden="false" customHeight="false" outlineLevel="0" collapsed="false">
      <c r="A41" s="127" t="s">
        <v>412</v>
      </c>
      <c r="B41" s="127"/>
      <c r="C41" s="127"/>
      <c r="D41" s="152" t="n">
        <f aca="false">SUM(D39:D40)</f>
        <v>0</v>
      </c>
      <c r="E41" s="152" t="n">
        <f aca="false">SUM(E4:E37)</f>
        <v>224168.51</v>
      </c>
      <c r="F41" s="152" t="n">
        <f aca="false">SUM(F4:F37)</f>
        <v>409765.87</v>
      </c>
      <c r="G41" s="5" t="n">
        <f aca="false">SUM(G4:G37)</f>
        <v>185597.36</v>
      </c>
      <c r="H41" s="152" t="n">
        <f aca="false">SUM(H4:H40)</f>
        <v>49298.12</v>
      </c>
      <c r="I41" s="123" t="n">
        <f aca="false">H41/H43*100</f>
        <v>80.3882918874847</v>
      </c>
      <c r="J41" s="42"/>
      <c r="U41" s="152" t="n">
        <f aca="false">SUM(U39:U40)</f>
        <v>0</v>
      </c>
    </row>
    <row r="42" s="6" customFormat="true" ht="13.5" hidden="false" customHeight="false" outlineLevel="0" collapsed="false">
      <c r="A42" s="153" t="s">
        <v>413</v>
      </c>
      <c r="B42" s="153"/>
      <c r="C42" s="153" t="n">
        <v>44814</v>
      </c>
      <c r="D42" s="154"/>
      <c r="E42" s="154"/>
      <c r="F42" s="154"/>
      <c r="G42" s="134" t="n">
        <f aca="false">F41-E41</f>
        <v>185597.36</v>
      </c>
      <c r="H42" s="126" t="n">
        <f aca="false">H43-H41</f>
        <v>12026.88</v>
      </c>
      <c r="I42" s="6" t="n">
        <f aca="false">H42/H43*100</f>
        <v>19.6117081125153</v>
      </c>
      <c r="U42" s="126"/>
    </row>
    <row r="43" s="6" customFormat="true" ht="13.5" hidden="false" customHeight="false" outlineLevel="0" collapsed="false">
      <c r="A43" s="6" t="s">
        <v>414</v>
      </c>
      <c r="H43" s="6" t="n">
        <v>61325</v>
      </c>
      <c r="I43" s="6" t="n">
        <f aca="false">I41+I42</f>
        <v>100</v>
      </c>
    </row>
    <row r="44" s="6" customFormat="true" ht="13.5" hidden="false" customHeight="false" outlineLevel="0" collapsed="false">
      <c r="A44" s="6" t="s">
        <v>415</v>
      </c>
    </row>
    <row r="45" s="6" customFormat="true" ht="13.5" hidden="false" customHeight="false" outlineLevel="0" collapsed="false">
      <c r="A45" s="6" t="s">
        <v>416</v>
      </c>
      <c r="H45" s="40"/>
    </row>
    <row r="46" s="6" customFormat="true" ht="13.5" hidden="false" customHeight="false" outlineLevel="0" collapsed="false">
      <c r="A46" s="6" t="s">
        <v>417</v>
      </c>
    </row>
    <row r="47" s="6" customFormat="true" ht="13.5" hidden="false" customHeight="false" outlineLevel="0" collapsed="false">
      <c r="A47" s="6" t="s">
        <v>418</v>
      </c>
    </row>
    <row r="48" s="6" customFormat="true" ht="13.5" hidden="false" customHeight="false" outlineLevel="0" collapsed="false">
      <c r="A48" s="6" t="s">
        <v>419</v>
      </c>
    </row>
    <row r="49" s="6" customFormat="true" ht="13.5" hidden="false" customHeight="false" outlineLevel="0" collapsed="false">
      <c r="A49" s="6" t="s">
        <v>420</v>
      </c>
    </row>
    <row r="50" s="6" customFormat="true" ht="13.5" hidden="false" customHeight="false" outlineLevel="0" collapsed="false">
      <c r="A50" s="6" t="s">
        <v>421</v>
      </c>
    </row>
    <row r="51" s="6" customFormat="true" ht="13.5" hidden="false" customHeight="false" outlineLevel="0" collapsed="false">
      <c r="A51" s="6" t="s">
        <v>422</v>
      </c>
    </row>
    <row r="52" s="6" customFormat="true" ht="13.5" hidden="false" customHeight="false" outlineLevel="0" collapsed="false">
      <c r="A52" s="6" t="s">
        <v>423</v>
      </c>
    </row>
    <row r="53" s="6" customFormat="true" ht="13.5" hidden="false" customHeight="false" outlineLevel="0" collapsed="false">
      <c r="A53" s="6" t="s">
        <v>424</v>
      </c>
    </row>
    <row r="54" s="6" customFormat="true" ht="13.5" hidden="false" customHeight="false" outlineLevel="0" collapsed="false"/>
    <row r="55" s="6" customFormat="true" ht="13.5" hidden="false" customHeight="false" outlineLevel="0" collapsed="false"/>
    <row r="56" s="6" customFormat="true" ht="13.5" hidden="false" customHeight="false" outlineLevel="0" collapsed="false"/>
    <row r="57" s="6" customFormat="true" ht="13.5" hidden="false" customHeight="false" outlineLevel="0" collapsed="false"/>
    <row r="58" s="6" customFormat="true" ht="13.5" hidden="false" customHeight="false" outlineLevel="0" collapsed="false"/>
    <row r="59" s="6" customFormat="true" ht="13.5" hidden="false" customHeight="false" outlineLevel="0" collapsed="false"/>
    <row r="60" s="6" customFormat="true" ht="13.5" hidden="false" customHeight="false" outlineLevel="0" collapsed="false"/>
    <row r="61" s="6" customFormat="true" ht="13.5" hidden="false" customHeight="false" outlineLevel="0" collapsed="false"/>
    <row r="62" s="6" customFormat="true" ht="13.5" hidden="false" customHeight="false" outlineLevel="0" collapsed="false"/>
    <row r="63" s="6" customFormat="true" ht="13.5" hidden="false" customHeight="false" outlineLevel="0" collapsed="false"/>
    <row r="64" s="6" customFormat="true" ht="13.5" hidden="false" customHeight="false" outlineLevel="0" collapsed="false"/>
    <row r="65" s="6" customFormat="true" ht="13.5" hidden="false" customHeight="false" outlineLevel="0" collapsed="false"/>
    <row r="66" s="6" customFormat="true" ht="13.5" hidden="false" customHeight="false" outlineLevel="0" collapsed="false"/>
    <row r="67" s="6" customFormat="true" ht="13.5" hidden="false" customHeight="false" outlineLevel="0" collapsed="false"/>
    <row r="68" s="6" customFormat="true" ht="13.5" hidden="false" customHeight="false" outlineLevel="0" collapsed="false"/>
    <row r="69" s="6" customFormat="true" ht="13.5" hidden="false" customHeight="false" outlineLevel="0" collapsed="false"/>
    <row r="70" s="6" customFormat="true" ht="13.5" hidden="false" customHeight="false" outlineLevel="0" collapsed="false"/>
    <row r="71" s="6" customFormat="true" ht="13.5" hidden="false" customHeight="false" outlineLevel="0" collapsed="false"/>
    <row r="72" s="6" customFormat="true" ht="13.5" hidden="false" customHeight="false" outlineLevel="0" collapsed="false"/>
    <row r="73" s="6" customFormat="true" ht="13.5" hidden="false" customHeight="false" outlineLevel="0" collapsed="false"/>
    <row r="74" s="6" customFormat="true" ht="13.5" hidden="false" customHeight="false" outlineLevel="0" collapsed="false"/>
    <row r="75" s="6" customFormat="true" ht="13.5" hidden="false" customHeight="false" outlineLevel="0" collapsed="false"/>
    <row r="76" s="6" customFormat="true" ht="13.5" hidden="false" customHeight="false" outlineLevel="0" collapsed="false"/>
    <row r="77" s="6" customFormat="true" ht="13.5" hidden="false" customHeight="false" outlineLevel="0" collapsed="false"/>
    <row r="78" s="6" customFormat="true" ht="13.5" hidden="false" customHeight="false" outlineLevel="0" collapsed="false"/>
    <row r="79" s="6" customFormat="true" ht="13.5" hidden="false" customHeight="false" outlineLevel="0" collapsed="false"/>
    <row r="80" s="6" customFormat="true" ht="13.5" hidden="false" customHeight="false" outlineLevel="0" collapsed="false"/>
    <row r="81" s="6" customFormat="true" ht="13.5" hidden="false" customHeight="false" outlineLevel="0" collapsed="false"/>
    <row r="82" s="6" customFormat="true" ht="13.5" hidden="false" customHeight="false" outlineLevel="0" collapsed="false"/>
    <row r="83" s="6" customFormat="true" ht="13.5" hidden="false" customHeight="false" outlineLevel="0" collapsed="false"/>
    <row r="84" s="6" customFormat="true" ht="13.5" hidden="false" customHeight="false" outlineLevel="0" collapsed="false"/>
    <row r="85" s="6" customFormat="true" ht="13.5" hidden="false" customHeight="false" outlineLevel="0" collapsed="false"/>
    <row r="86" s="6" customFormat="true" ht="13.5" hidden="false" customHeight="false" outlineLevel="0" collapsed="false"/>
    <row r="87" s="6" customFormat="true" ht="13.5" hidden="false" customHeight="false" outlineLevel="0" collapsed="false"/>
    <row r="88" s="6" customFormat="true" ht="13.5" hidden="false" customHeight="false" outlineLevel="0" collapsed="false"/>
    <row r="89" s="6" customFormat="true" ht="13.5" hidden="false" customHeight="false" outlineLevel="0" collapsed="false"/>
    <row r="90" s="6" customFormat="true" ht="13.5" hidden="false" customHeight="false" outlineLevel="0" collapsed="false"/>
    <row r="91" s="6" customFormat="true" ht="13.5" hidden="false" customHeight="false" outlineLevel="0" collapsed="false"/>
    <row r="92" s="6" customFormat="true" ht="13.5" hidden="false" customHeight="false" outlineLevel="0" collapsed="false"/>
    <row r="93" s="6" customFormat="true" ht="13.5" hidden="false" customHeight="false" outlineLevel="0" collapsed="false"/>
    <row r="94" s="6" customFormat="true" ht="13.5" hidden="false" customHeight="false" outlineLevel="0" collapsed="false"/>
    <row r="95" s="6" customFormat="true" ht="13.5" hidden="false" customHeight="false" outlineLevel="0" collapsed="false"/>
    <row r="96" s="6" customFormat="true" ht="13.5" hidden="false" customHeight="false" outlineLevel="0" collapsed="false"/>
    <row r="97" s="6" customFormat="true" ht="13.5" hidden="false" customHeight="false" outlineLevel="0" collapsed="false"/>
    <row r="98" s="6" customFormat="true" ht="13.5" hidden="false" customHeight="false" outlineLevel="0" collapsed="false"/>
    <row r="99" s="6" customFormat="true" ht="13.5" hidden="false" customHeight="false" outlineLevel="0" collapsed="false"/>
    <row r="100" s="6" customFormat="true" ht="13.5" hidden="false" customHeight="false" outlineLevel="0" collapsed="false"/>
    <row r="101" s="6" customFormat="true" ht="13.5" hidden="false" customHeight="false" outlineLevel="0" collapsed="false"/>
    <row r="102" s="6" customFormat="true" ht="13.5" hidden="false" customHeight="false" outlineLevel="0" collapsed="false"/>
    <row r="103" s="6" customFormat="true" ht="13.5" hidden="false" customHeight="false" outlineLevel="0" collapsed="false"/>
    <row r="104" s="6" customFormat="true" ht="13.5" hidden="false" customHeight="false" outlineLevel="0" collapsed="false"/>
    <row r="105" s="6" customFormat="true" ht="13.5" hidden="false" customHeight="false" outlineLevel="0" collapsed="false"/>
    <row r="106" s="6" customFormat="true" ht="13.5" hidden="false" customHeight="false" outlineLevel="0" collapsed="false"/>
    <row r="107" s="6" customFormat="true" ht="13.5" hidden="false" customHeight="false" outlineLevel="0" collapsed="false"/>
    <row r="108" s="6" customFormat="true" ht="13.5" hidden="false" customHeight="false" outlineLevel="0" collapsed="false"/>
    <row r="109" s="6" customFormat="true" ht="13.5" hidden="false" customHeight="false" outlineLevel="0" collapsed="false"/>
    <row r="110" customFormat="false" ht="13.5" hidden="false" customHeight="false" outlineLevel="0" collapsed="false">
      <c r="J110" s="123"/>
      <c r="K110" s="123"/>
    </row>
    <row r="112" customFormat="false" ht="13.5" hidden="false" customHeight="false" outlineLevel="0" collapsed="false">
      <c r="J112" s="0" t="n">
        <v>8855.11</v>
      </c>
    </row>
    <row r="113" customFormat="false" ht="13.5" hidden="false" customHeight="false" outlineLevel="0" collapsed="false">
      <c r="J113" s="0" t="n">
        <f aca="false">J112/18*12</f>
        <v>5903.40666666667</v>
      </c>
    </row>
  </sheetData>
  <printOptions headings="false" gridLines="false" gridLinesSet="true" horizontalCentered="false" verticalCentered="false"/>
  <pageMargins left="0" right="0" top="0.39375" bottom="0.39375" header="0" footer="0"/>
  <pageSetup paperSize="77" scale="100" fitToWidth="1" fitToHeight="1" pageOrder="overThenDown" orientation="landscape" blackAndWhite="false" draft="false" cellComments="none" firstPageNumber="1" useFirstPageNumber="true" horizontalDpi="300" verticalDpi="300" copies="1"/>
  <headerFooter differentFirst="false" differentOddEven="false">
    <oddHeader>&amp;C&amp;A</oddHeader>
    <oddFooter>&amp;CSeite &amp;P</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982"/>
  <sheetViews>
    <sheetView showFormulas="false" showGridLines="true" showRowColHeaders="true" showZeros="true" rightToLeft="false" tabSelected="false" showOutlineSymbols="true" defaultGridColor="true" view="normal" topLeftCell="A2" colorId="64" zoomScale="90" zoomScaleNormal="90" zoomScalePageLayoutView="100" workbookViewId="0">
      <selection pane="topLeft" activeCell="J2" activeCellId="1" sqref="G4:G37 J2"/>
    </sheetView>
  </sheetViews>
  <sheetFormatPr defaultColWidth="10.56640625" defaultRowHeight="13.5" zeroHeight="false" outlineLevelRow="0" outlineLevelCol="0"/>
  <cols>
    <col collapsed="false" customWidth="false" hidden="false" outlineLevel="0" max="1" min="1" style="155" width="10.58"/>
    <col collapsed="false" customWidth="true" hidden="false" outlineLevel="0" max="2" min="2" style="155" width="12.07"/>
    <col collapsed="false" customWidth="true" hidden="false" outlineLevel="0" max="3" min="3" style="155" width="13.25"/>
    <col collapsed="false" customWidth="true" hidden="false" outlineLevel="0" max="4" min="4" style="155" width="12.5"/>
    <col collapsed="false" customWidth="true" hidden="false" outlineLevel="0" max="5" min="5" style="155" width="17.08"/>
    <col collapsed="false" customWidth="true" hidden="false" outlineLevel="0" max="7" min="6" style="156" width="17.84"/>
    <col collapsed="false" customWidth="true" hidden="false" outlineLevel="0" max="8" min="8" style="155" width="22.08"/>
    <col collapsed="false" customWidth="true" hidden="false" outlineLevel="0" max="9" min="9" style="155" width="17.74"/>
    <col collapsed="false" customWidth="true" hidden="false" outlineLevel="0" max="10" min="10" style="155" width="17.5"/>
    <col collapsed="false" customWidth="false" hidden="false" outlineLevel="0" max="61" min="11" style="6" width="10.58"/>
  </cols>
  <sheetData>
    <row r="1" customFormat="false" ht="15" hidden="false" customHeight="false" outlineLevel="0" collapsed="false">
      <c r="A1" s="157" t="s">
        <v>306</v>
      </c>
      <c r="B1" s="157" t="s">
        <v>202</v>
      </c>
      <c r="C1" s="157" t="s">
        <v>425</v>
      </c>
      <c r="D1" s="157" t="s">
        <v>39</v>
      </c>
      <c r="E1" s="157" t="s">
        <v>426</v>
      </c>
      <c r="F1" s="158" t="s">
        <v>427</v>
      </c>
      <c r="G1" s="158" t="s">
        <v>428</v>
      </c>
      <c r="H1" s="159" t="s">
        <v>429</v>
      </c>
      <c r="I1" s="159" t="s">
        <v>430</v>
      </c>
      <c r="J1" s="159" t="s">
        <v>431</v>
      </c>
    </row>
    <row r="2" customFormat="false" ht="13.5" hidden="false" customHeight="false" outlineLevel="0" collapsed="false">
      <c r="A2" s="160" t="s">
        <v>204</v>
      </c>
      <c r="B2" s="160" t="s">
        <v>205</v>
      </c>
      <c r="C2" s="160" t="s">
        <v>432</v>
      </c>
      <c r="D2" s="160" t="s">
        <v>433</v>
      </c>
      <c r="E2" s="160" t="n">
        <v>605059144</v>
      </c>
      <c r="F2" s="161" t="n">
        <v>1244</v>
      </c>
      <c r="G2" s="161" t="n">
        <v>208</v>
      </c>
      <c r="J2" s="156" t="n">
        <v>1688.67983693948</v>
      </c>
    </row>
    <row r="3" customFormat="false" ht="13.5" hidden="false" customHeight="false" outlineLevel="0" collapsed="false">
      <c r="A3" s="160" t="s">
        <v>204</v>
      </c>
      <c r="B3" s="160" t="s">
        <v>205</v>
      </c>
      <c r="C3" s="160" t="s">
        <v>432</v>
      </c>
      <c r="D3" s="160" t="s">
        <v>433</v>
      </c>
      <c r="E3" s="160" t="n">
        <v>605059311</v>
      </c>
      <c r="F3" s="161" t="n">
        <v>1730</v>
      </c>
      <c r="G3" s="161" t="n">
        <v>2133</v>
      </c>
      <c r="J3" s="156" t="n">
        <v>1688.67983693948</v>
      </c>
    </row>
    <row r="4" customFormat="false" ht="13.5" hidden="false" customHeight="false" outlineLevel="0" collapsed="false">
      <c r="A4" s="160" t="s">
        <v>204</v>
      </c>
      <c r="B4" s="160" t="s">
        <v>205</v>
      </c>
      <c r="C4" s="160" t="s">
        <v>432</v>
      </c>
      <c r="D4" s="160" t="s">
        <v>433</v>
      </c>
      <c r="E4" s="160" t="n">
        <v>605059274</v>
      </c>
      <c r="F4" s="161" t="n">
        <v>3249</v>
      </c>
      <c r="G4" s="161" t="n">
        <v>2790</v>
      </c>
      <c r="J4" s="156" t="n">
        <v>1688.67983693948</v>
      </c>
    </row>
    <row r="5" customFormat="false" ht="13.5" hidden="false" customHeight="false" outlineLevel="0" collapsed="false">
      <c r="A5" s="160" t="s">
        <v>204</v>
      </c>
      <c r="B5" s="160" t="s">
        <v>205</v>
      </c>
      <c r="C5" s="160" t="s">
        <v>434</v>
      </c>
      <c r="D5" s="160" t="s">
        <v>433</v>
      </c>
      <c r="E5" s="160" t="n">
        <v>605059298</v>
      </c>
      <c r="F5" s="161" t="n">
        <v>989</v>
      </c>
      <c r="G5" s="161" t="n">
        <v>509</v>
      </c>
      <c r="J5" s="156" t="n">
        <v>1688.67983693948</v>
      </c>
    </row>
    <row r="6" customFormat="false" ht="13.5" hidden="false" customHeight="false" outlineLevel="0" collapsed="false">
      <c r="A6" s="160" t="s">
        <v>204</v>
      </c>
      <c r="B6" s="160" t="s">
        <v>205</v>
      </c>
      <c r="C6" s="160" t="s">
        <v>435</v>
      </c>
      <c r="D6" s="160" t="s">
        <v>433</v>
      </c>
      <c r="E6" s="160" t="n">
        <v>605059106</v>
      </c>
      <c r="F6" s="161" t="n">
        <v>1761</v>
      </c>
      <c r="G6" s="161" t="n">
        <v>1395</v>
      </c>
      <c r="J6" s="156" t="n">
        <v>1688.67983693948</v>
      </c>
    </row>
    <row r="7" customFormat="false" ht="13.5" hidden="false" customHeight="false" outlineLevel="0" collapsed="false">
      <c r="A7" s="160" t="s">
        <v>204</v>
      </c>
      <c r="B7" s="160" t="s">
        <v>205</v>
      </c>
      <c r="C7" s="160" t="s">
        <v>435</v>
      </c>
      <c r="D7" s="160" t="s">
        <v>436</v>
      </c>
      <c r="E7" s="160" t="n">
        <v>16128901</v>
      </c>
      <c r="F7" s="161" t="n">
        <v>216.606</v>
      </c>
      <c r="G7" s="161" t="n">
        <v>180.87</v>
      </c>
      <c r="H7" s="155" t="n">
        <v>152.08</v>
      </c>
      <c r="J7" s="156"/>
    </row>
    <row r="8" customFormat="false" ht="13.5" hidden="false" customHeight="false" outlineLevel="0" collapsed="false">
      <c r="A8" s="160" t="s">
        <v>204</v>
      </c>
      <c r="B8" s="160" t="s">
        <v>205</v>
      </c>
      <c r="C8" s="160" t="s">
        <v>435</v>
      </c>
      <c r="D8" s="160" t="s">
        <v>145</v>
      </c>
      <c r="E8" s="160" t="n">
        <v>16202910</v>
      </c>
      <c r="F8" s="161" t="n">
        <v>106.919</v>
      </c>
      <c r="G8" s="161" t="n">
        <v>90.171</v>
      </c>
      <c r="I8" s="155" t="n">
        <v>25.3466666666667</v>
      </c>
      <c r="J8" s="156"/>
    </row>
    <row r="9" customFormat="false" ht="13.5" hidden="false" customHeight="false" outlineLevel="0" collapsed="false">
      <c r="A9" s="160" t="s">
        <v>207</v>
      </c>
      <c r="B9" s="160" t="s">
        <v>208</v>
      </c>
      <c r="C9" s="160" t="s">
        <v>435</v>
      </c>
      <c r="D9" s="160" t="s">
        <v>433</v>
      </c>
      <c r="E9" s="160" t="n">
        <v>602560155</v>
      </c>
      <c r="F9" s="161" t="n">
        <v>1141</v>
      </c>
      <c r="G9" s="161" t="n">
        <v>3213</v>
      </c>
      <c r="J9" s="156" t="n">
        <v>506.603951081844</v>
      </c>
    </row>
    <row r="10" s="162" customFormat="true" ht="13.5" hidden="false" customHeight="false" outlineLevel="0" collapsed="false">
      <c r="A10" s="160" t="s">
        <v>207</v>
      </c>
      <c r="B10" s="160" t="s">
        <v>208</v>
      </c>
      <c r="C10" s="160" t="s">
        <v>432</v>
      </c>
      <c r="D10" s="160" t="s">
        <v>433</v>
      </c>
      <c r="E10" s="160" t="n">
        <v>602560186</v>
      </c>
      <c r="F10" s="161" t="n">
        <v>372</v>
      </c>
      <c r="G10" s="161" t="n">
        <v>1537</v>
      </c>
      <c r="H10" s="155"/>
      <c r="I10" s="155"/>
      <c r="J10" s="156" t="n">
        <v>506.603951081844</v>
      </c>
    </row>
    <row r="11" customFormat="false" ht="13.5" hidden="false" customHeight="false" outlineLevel="0" collapsed="false">
      <c r="A11" s="160" t="s">
        <v>207</v>
      </c>
      <c r="B11" s="160" t="s">
        <v>208</v>
      </c>
      <c r="C11" s="160" t="s">
        <v>434</v>
      </c>
      <c r="D11" s="160" t="s">
        <v>433</v>
      </c>
      <c r="E11" s="160" t="n">
        <v>602560209</v>
      </c>
      <c r="F11" s="161" t="n">
        <v>1494</v>
      </c>
      <c r="G11" s="161" t="n">
        <v>23</v>
      </c>
      <c r="J11" s="156" t="n">
        <v>506.603951081844</v>
      </c>
    </row>
    <row r="12" s="162" customFormat="true" ht="13.5" hidden="false" customHeight="false" outlineLevel="0" collapsed="false">
      <c r="A12" s="160" t="s">
        <v>207</v>
      </c>
      <c r="B12" s="160" t="s">
        <v>208</v>
      </c>
      <c r="C12" s="160" t="s">
        <v>432</v>
      </c>
      <c r="D12" s="160" t="s">
        <v>433</v>
      </c>
      <c r="E12" s="160" t="n">
        <v>602560230</v>
      </c>
      <c r="F12" s="161" t="n">
        <v>555</v>
      </c>
      <c r="G12" s="161" t="n">
        <v>1607</v>
      </c>
      <c r="H12" s="155"/>
      <c r="I12" s="155"/>
      <c r="J12" s="156" t="n">
        <v>506.603951081844</v>
      </c>
    </row>
    <row r="13" customFormat="false" ht="13.5" hidden="false" customHeight="false" outlineLevel="0" collapsed="false">
      <c r="A13" s="160" t="s">
        <v>207</v>
      </c>
      <c r="B13" s="160" t="s">
        <v>208</v>
      </c>
      <c r="C13" s="160" t="s">
        <v>415</v>
      </c>
      <c r="D13" s="160" t="s">
        <v>433</v>
      </c>
      <c r="E13" s="160" t="n">
        <v>602560131</v>
      </c>
      <c r="F13" s="161" t="n">
        <v>558</v>
      </c>
      <c r="G13" s="161" t="n">
        <v>715</v>
      </c>
      <c r="J13" s="156" t="n">
        <v>506.603951081844</v>
      </c>
    </row>
    <row r="14" s="162" customFormat="true" ht="13.5" hidden="false" customHeight="false" outlineLevel="0" collapsed="false">
      <c r="A14" s="160" t="s">
        <v>207</v>
      </c>
      <c r="B14" s="160" t="s">
        <v>208</v>
      </c>
      <c r="C14" s="160" t="s">
        <v>435</v>
      </c>
      <c r="D14" s="160" t="s">
        <v>436</v>
      </c>
      <c r="E14" s="160" t="n">
        <v>16128973</v>
      </c>
      <c r="F14" s="161" t="n">
        <v>74.075</v>
      </c>
      <c r="G14" s="161" t="n">
        <v>67.469</v>
      </c>
      <c r="H14" s="155" t="n">
        <v>11.25</v>
      </c>
      <c r="I14" s="155"/>
      <c r="J14" s="156"/>
    </row>
    <row r="15" customFormat="false" ht="13.5" hidden="false" customHeight="false" outlineLevel="0" collapsed="false">
      <c r="A15" s="160" t="s">
        <v>207</v>
      </c>
      <c r="B15" s="160" t="s">
        <v>208</v>
      </c>
      <c r="C15" s="160" t="s">
        <v>435</v>
      </c>
      <c r="D15" s="160" t="s">
        <v>145</v>
      </c>
      <c r="E15" s="160" t="n">
        <v>14275547</v>
      </c>
      <c r="F15" s="161" t="n">
        <v>19.219</v>
      </c>
      <c r="G15" s="161" t="n">
        <v>15.846</v>
      </c>
      <c r="I15" s="155" t="n">
        <v>1.87666666666667</v>
      </c>
      <c r="J15" s="156"/>
    </row>
    <row r="16" s="162" customFormat="true" ht="13.5" hidden="false" customHeight="false" outlineLevel="0" collapsed="false">
      <c r="A16" s="160" t="s">
        <v>210</v>
      </c>
      <c r="B16" s="160" t="s">
        <v>208</v>
      </c>
      <c r="C16" s="160" t="s">
        <v>435</v>
      </c>
      <c r="D16" s="160" t="s">
        <v>433</v>
      </c>
      <c r="E16" s="160" t="n">
        <v>602560155</v>
      </c>
      <c r="F16" s="161" t="n">
        <v>280</v>
      </c>
      <c r="G16" s="161" t="n">
        <v>1141</v>
      </c>
      <c r="H16" s="155"/>
      <c r="I16" s="155"/>
      <c r="J16" s="156" t="n">
        <v>337.735967387896</v>
      </c>
    </row>
    <row r="17" customFormat="false" ht="13.5" hidden="false" customHeight="false" outlineLevel="0" collapsed="false">
      <c r="A17" s="160" t="s">
        <v>210</v>
      </c>
      <c r="B17" s="160" t="s">
        <v>208</v>
      </c>
      <c r="C17" s="160" t="s">
        <v>432</v>
      </c>
      <c r="D17" s="160" t="s">
        <v>433</v>
      </c>
      <c r="E17" s="160" t="n">
        <v>602560186</v>
      </c>
      <c r="F17" s="161" t="n">
        <v>247</v>
      </c>
      <c r="G17" s="161" t="n">
        <v>1537</v>
      </c>
      <c r="J17" s="156" t="n">
        <v>337.735967387896</v>
      </c>
    </row>
    <row r="18" s="6" customFormat="true" ht="13.5" hidden="false" customHeight="false" outlineLevel="0" collapsed="false">
      <c r="A18" s="160" t="s">
        <v>210</v>
      </c>
      <c r="B18" s="160" t="s">
        <v>208</v>
      </c>
      <c r="C18" s="160" t="s">
        <v>434</v>
      </c>
      <c r="D18" s="160" t="s">
        <v>433</v>
      </c>
      <c r="E18" s="160" t="n">
        <v>602560209</v>
      </c>
      <c r="F18" s="161" t="n">
        <v>1020</v>
      </c>
      <c r="G18" s="161" t="n">
        <v>23</v>
      </c>
      <c r="H18" s="155"/>
      <c r="I18" s="155"/>
      <c r="J18" s="156" t="n">
        <v>337.735967387896</v>
      </c>
    </row>
    <row r="19" customFormat="false" ht="13.5" hidden="false" customHeight="false" outlineLevel="0" collapsed="false">
      <c r="A19" s="160" t="s">
        <v>210</v>
      </c>
      <c r="B19" s="160" t="s">
        <v>208</v>
      </c>
      <c r="C19" s="160" t="s">
        <v>432</v>
      </c>
      <c r="D19" s="160" t="s">
        <v>433</v>
      </c>
      <c r="E19" s="160" t="n">
        <v>602560230</v>
      </c>
      <c r="F19" s="161" t="n">
        <v>82</v>
      </c>
      <c r="G19" s="161" t="n">
        <v>1607</v>
      </c>
      <c r="J19" s="156" t="n">
        <v>337.735967387896</v>
      </c>
    </row>
    <row r="20" s="162" customFormat="true" ht="13.5" hidden="false" customHeight="false" outlineLevel="0" collapsed="false">
      <c r="A20" s="160" t="s">
        <v>210</v>
      </c>
      <c r="B20" s="160" t="s">
        <v>208</v>
      </c>
      <c r="C20" s="160" t="s">
        <v>415</v>
      </c>
      <c r="D20" s="160" t="s">
        <v>433</v>
      </c>
      <c r="E20" s="160" t="n">
        <v>602560131</v>
      </c>
      <c r="F20" s="161" t="n">
        <v>848</v>
      </c>
      <c r="G20" s="163" t="s">
        <v>437</v>
      </c>
      <c r="H20" s="155"/>
      <c r="I20" s="155"/>
      <c r="J20" s="156" t="n">
        <v>337.735967387896</v>
      </c>
    </row>
    <row r="21" customFormat="false" ht="13.5" hidden="false" customHeight="false" outlineLevel="0" collapsed="false">
      <c r="A21" s="160" t="s">
        <v>210</v>
      </c>
      <c r="B21" s="160" t="s">
        <v>208</v>
      </c>
      <c r="C21" s="160" t="s">
        <v>435</v>
      </c>
      <c r="D21" s="160" t="s">
        <v>436</v>
      </c>
      <c r="E21" s="160" t="n">
        <v>16128973</v>
      </c>
      <c r="F21" s="161" t="n">
        <v>94.547</v>
      </c>
      <c r="G21" s="161" t="n">
        <v>74.075</v>
      </c>
      <c r="H21" s="155" t="n">
        <v>22.92</v>
      </c>
      <c r="J21" s="156"/>
    </row>
    <row r="22" s="162" customFormat="true" ht="13.5" hidden="false" customHeight="false" outlineLevel="0" collapsed="false">
      <c r="A22" s="160" t="s">
        <v>210</v>
      </c>
      <c r="B22" s="160" t="s">
        <v>208</v>
      </c>
      <c r="C22" s="160" t="s">
        <v>435</v>
      </c>
      <c r="D22" s="160" t="s">
        <v>145</v>
      </c>
      <c r="E22" s="160" t="n">
        <v>14275547</v>
      </c>
      <c r="F22" s="161" t="n">
        <v>26.676</v>
      </c>
      <c r="G22" s="161" t="n">
        <v>19.219</v>
      </c>
      <c r="H22" s="155"/>
      <c r="I22" s="155" t="n">
        <v>3.82</v>
      </c>
      <c r="J22" s="156"/>
    </row>
    <row r="23" customFormat="false" ht="13.5" hidden="false" customHeight="false" outlineLevel="0" collapsed="false">
      <c r="A23" s="160" t="s">
        <v>212</v>
      </c>
      <c r="B23" s="160" t="s">
        <v>213</v>
      </c>
      <c r="C23" s="160" t="s">
        <v>434</v>
      </c>
      <c r="D23" s="160" t="s">
        <v>433</v>
      </c>
      <c r="E23" s="160" t="n">
        <v>602560292</v>
      </c>
      <c r="F23" s="161" t="n">
        <v>1068</v>
      </c>
      <c r="G23" s="161" t="n">
        <v>1269</v>
      </c>
      <c r="J23" s="156" t="n">
        <v>675.471934775792</v>
      </c>
    </row>
    <row r="24" s="162" customFormat="true" ht="13.5" hidden="false" customHeight="false" outlineLevel="0" collapsed="false">
      <c r="A24" s="160" t="s">
        <v>212</v>
      </c>
      <c r="B24" s="160" t="s">
        <v>213</v>
      </c>
      <c r="C24" s="160" t="s">
        <v>432</v>
      </c>
      <c r="D24" s="160" t="s">
        <v>433</v>
      </c>
      <c r="E24" s="160" t="n">
        <v>602560261</v>
      </c>
      <c r="F24" s="161" t="n">
        <v>947</v>
      </c>
      <c r="G24" s="161" t="n">
        <v>1467</v>
      </c>
      <c r="H24" s="155"/>
      <c r="I24" s="155"/>
      <c r="J24" s="156" t="n">
        <v>675.471934775792</v>
      </c>
    </row>
    <row r="25" customFormat="false" ht="13.5" hidden="false" customHeight="false" outlineLevel="0" collapsed="false">
      <c r="A25" s="160" t="s">
        <v>212</v>
      </c>
      <c r="B25" s="160" t="s">
        <v>213</v>
      </c>
      <c r="C25" s="160" t="s">
        <v>432</v>
      </c>
      <c r="D25" s="160" t="s">
        <v>433</v>
      </c>
      <c r="E25" s="160" t="n">
        <v>602560247</v>
      </c>
      <c r="F25" s="161" t="n">
        <v>1409</v>
      </c>
      <c r="G25" s="161" t="n">
        <v>1357</v>
      </c>
      <c r="J25" s="156" t="n">
        <v>675.471934775792</v>
      </c>
    </row>
    <row r="26" s="162" customFormat="true" ht="13.5" hidden="false" customHeight="false" outlineLevel="0" collapsed="false">
      <c r="A26" s="160" t="s">
        <v>212</v>
      </c>
      <c r="B26" s="160" t="s">
        <v>213</v>
      </c>
      <c r="C26" s="160" t="s">
        <v>438</v>
      </c>
      <c r="D26" s="160" t="s">
        <v>433</v>
      </c>
      <c r="E26" s="160" t="n">
        <v>602560278</v>
      </c>
      <c r="F26" s="161" t="n">
        <v>1481</v>
      </c>
      <c r="G26" s="161" t="n">
        <v>1732</v>
      </c>
      <c r="H26" s="155"/>
      <c r="I26" s="155"/>
      <c r="J26" s="156" t="n">
        <v>675.471934775792</v>
      </c>
    </row>
    <row r="27" customFormat="false" ht="13.5" hidden="false" customHeight="false" outlineLevel="0" collapsed="false">
      <c r="A27" s="160" t="s">
        <v>212</v>
      </c>
      <c r="B27" s="160" t="s">
        <v>213</v>
      </c>
      <c r="C27" s="160" t="s">
        <v>435</v>
      </c>
      <c r="D27" s="160" t="s">
        <v>433</v>
      </c>
      <c r="E27" s="160" t="n">
        <v>602560582</v>
      </c>
      <c r="F27" s="161" t="n">
        <v>98</v>
      </c>
      <c r="G27" s="161" t="n">
        <v>974</v>
      </c>
      <c r="J27" s="156" t="n">
        <v>675.471934775792</v>
      </c>
    </row>
    <row r="28" s="162" customFormat="true" ht="13.5" hidden="false" customHeight="false" outlineLevel="0" collapsed="false">
      <c r="A28" s="160" t="s">
        <v>212</v>
      </c>
      <c r="B28" s="160" t="s">
        <v>213</v>
      </c>
      <c r="C28" s="160" t="s">
        <v>439</v>
      </c>
      <c r="D28" s="160" t="s">
        <v>436</v>
      </c>
      <c r="E28" s="160" t="n">
        <v>15990194</v>
      </c>
      <c r="F28" s="161" t="n">
        <v>72.718</v>
      </c>
      <c r="G28" s="161" t="n">
        <v>67.19</v>
      </c>
      <c r="H28" s="155" t="n">
        <v>15.085</v>
      </c>
      <c r="I28" s="155"/>
      <c r="J28" s="156"/>
    </row>
    <row r="29" customFormat="false" ht="13.5" hidden="false" customHeight="false" outlineLevel="0" collapsed="false">
      <c r="A29" s="160" t="s">
        <v>212</v>
      </c>
      <c r="B29" s="160" t="s">
        <v>213</v>
      </c>
      <c r="C29" s="160" t="s">
        <v>435</v>
      </c>
      <c r="D29" s="160" t="s">
        <v>436</v>
      </c>
      <c r="E29" s="160" t="n">
        <v>15990192</v>
      </c>
      <c r="F29" s="161" t="n">
        <v>117.54</v>
      </c>
      <c r="G29" s="161" t="n">
        <v>113.827</v>
      </c>
      <c r="H29" s="155" t="n">
        <v>30.17</v>
      </c>
      <c r="J29" s="156"/>
    </row>
    <row r="30" s="162" customFormat="true" ht="13.5" hidden="false" customHeight="false" outlineLevel="0" collapsed="false">
      <c r="A30" s="160" t="s">
        <v>212</v>
      </c>
      <c r="B30" s="160" t="s">
        <v>213</v>
      </c>
      <c r="C30" s="160" t="s">
        <v>439</v>
      </c>
      <c r="D30" s="160" t="s">
        <v>145</v>
      </c>
      <c r="E30" s="160" t="n">
        <v>16160363</v>
      </c>
      <c r="F30" s="161" t="n">
        <v>68.727</v>
      </c>
      <c r="G30" s="161" t="n">
        <v>65.353</v>
      </c>
      <c r="H30" s="155"/>
      <c r="I30" s="155" t="n">
        <v>5.02666666666667</v>
      </c>
      <c r="J30" s="156"/>
    </row>
    <row r="31" customFormat="false" ht="13.5" hidden="false" customHeight="false" outlineLevel="0" collapsed="false">
      <c r="A31" s="160" t="s">
        <v>212</v>
      </c>
      <c r="B31" s="160" t="s">
        <v>213</v>
      </c>
      <c r="C31" s="160" t="s">
        <v>435</v>
      </c>
      <c r="D31" s="160" t="s">
        <v>145</v>
      </c>
      <c r="E31" s="160" t="n">
        <v>16160368</v>
      </c>
      <c r="F31" s="161" t="n">
        <v>62.138</v>
      </c>
      <c r="G31" s="161" t="n">
        <v>60.863</v>
      </c>
      <c r="I31" s="155" t="n">
        <v>5.02666666666667</v>
      </c>
      <c r="J31" s="156"/>
    </row>
    <row r="32" s="162" customFormat="true" ht="13.5" hidden="false" customHeight="false" outlineLevel="0" collapsed="false">
      <c r="A32" s="160" t="s">
        <v>215</v>
      </c>
      <c r="B32" s="160" t="s">
        <v>213</v>
      </c>
      <c r="C32" s="160" t="s">
        <v>434</v>
      </c>
      <c r="D32" s="160" t="s">
        <v>433</v>
      </c>
      <c r="E32" s="160" t="n">
        <v>602560292</v>
      </c>
      <c r="F32" s="161" t="n">
        <v>35</v>
      </c>
      <c r="G32" s="161" t="n">
        <v>1068</v>
      </c>
      <c r="H32" s="155"/>
      <c r="I32" s="155"/>
      <c r="J32" s="156" t="n">
        <v>675.471934775792</v>
      </c>
    </row>
    <row r="33" customFormat="false" ht="13.5" hidden="false" customHeight="false" outlineLevel="0" collapsed="false">
      <c r="A33" s="160" t="s">
        <v>215</v>
      </c>
      <c r="B33" s="160" t="s">
        <v>213</v>
      </c>
      <c r="C33" s="160" t="s">
        <v>432</v>
      </c>
      <c r="D33" s="160" t="s">
        <v>433</v>
      </c>
      <c r="E33" s="160" t="n">
        <v>602560261</v>
      </c>
      <c r="F33" s="161" t="n">
        <v>576</v>
      </c>
      <c r="G33" s="161" t="n">
        <v>947</v>
      </c>
      <c r="J33" s="156" t="n">
        <v>675.471934775792</v>
      </c>
    </row>
    <row r="34" s="162" customFormat="true" ht="13.5" hidden="false" customHeight="false" outlineLevel="0" collapsed="false">
      <c r="A34" s="160" t="s">
        <v>215</v>
      </c>
      <c r="B34" s="160" t="s">
        <v>213</v>
      </c>
      <c r="C34" s="160" t="s">
        <v>432</v>
      </c>
      <c r="D34" s="160" t="s">
        <v>433</v>
      </c>
      <c r="E34" s="160" t="n">
        <v>602560247</v>
      </c>
      <c r="F34" s="161" t="n">
        <v>249</v>
      </c>
      <c r="G34" s="161" t="n">
        <v>1409</v>
      </c>
      <c r="H34" s="155"/>
      <c r="I34" s="155"/>
      <c r="J34" s="156" t="n">
        <v>675.471934775792</v>
      </c>
    </row>
    <row r="35" customFormat="false" ht="13.5" hidden="false" customHeight="false" outlineLevel="0" collapsed="false">
      <c r="A35" s="160" t="s">
        <v>215</v>
      </c>
      <c r="B35" s="160" t="s">
        <v>213</v>
      </c>
      <c r="C35" s="160" t="s">
        <v>438</v>
      </c>
      <c r="D35" s="160" t="s">
        <v>433</v>
      </c>
      <c r="E35" s="160" t="n">
        <v>602560278</v>
      </c>
      <c r="F35" s="161" t="n">
        <v>245</v>
      </c>
      <c r="G35" s="161" t="n">
        <v>1481</v>
      </c>
      <c r="J35" s="156" t="n">
        <v>675.471934775792</v>
      </c>
    </row>
    <row r="36" s="162" customFormat="true" ht="13.5" hidden="false" customHeight="false" outlineLevel="0" collapsed="false">
      <c r="A36" s="160" t="s">
        <v>215</v>
      </c>
      <c r="B36" s="160" t="s">
        <v>213</v>
      </c>
      <c r="C36" s="160" t="s">
        <v>435</v>
      </c>
      <c r="D36" s="160" t="s">
        <v>433</v>
      </c>
      <c r="E36" s="160" t="s">
        <v>440</v>
      </c>
      <c r="F36" s="161" t="n">
        <v>98</v>
      </c>
      <c r="G36" s="161" t="n">
        <v>98</v>
      </c>
      <c r="H36" s="155"/>
      <c r="I36" s="155"/>
      <c r="J36" s="156" t="n">
        <v>675.471934775792</v>
      </c>
    </row>
    <row r="37" customFormat="false" ht="13.5" hidden="false" customHeight="false" outlineLevel="0" collapsed="false">
      <c r="A37" s="160" t="s">
        <v>215</v>
      </c>
      <c r="B37" s="160" t="s">
        <v>213</v>
      </c>
      <c r="C37" s="160" t="s">
        <v>439</v>
      </c>
      <c r="D37" s="160" t="s">
        <v>436</v>
      </c>
      <c r="E37" s="160" t="n">
        <v>15990194</v>
      </c>
      <c r="F37" s="161" t="n">
        <v>81.544</v>
      </c>
      <c r="G37" s="161" t="n">
        <v>72.718</v>
      </c>
      <c r="H37" s="155" t="n">
        <v>15.335</v>
      </c>
      <c r="J37" s="156"/>
    </row>
    <row r="38" s="162" customFormat="true" ht="13.5" hidden="false" customHeight="false" outlineLevel="0" collapsed="false">
      <c r="A38" s="160" t="s">
        <v>215</v>
      </c>
      <c r="B38" s="160" t="s">
        <v>213</v>
      </c>
      <c r="C38" s="160" t="s">
        <v>435</v>
      </c>
      <c r="D38" s="160" t="s">
        <v>436</v>
      </c>
      <c r="E38" s="160" t="n">
        <v>15990192</v>
      </c>
      <c r="F38" s="161" t="n">
        <v>127.305</v>
      </c>
      <c r="G38" s="161" t="n">
        <v>117.54</v>
      </c>
      <c r="H38" s="155" t="n">
        <v>15.335</v>
      </c>
      <c r="I38" s="155"/>
      <c r="J38" s="156"/>
    </row>
    <row r="39" customFormat="false" ht="13.5" hidden="false" customHeight="false" outlineLevel="0" collapsed="false">
      <c r="A39" s="160" t="s">
        <v>215</v>
      </c>
      <c r="B39" s="160" t="s">
        <v>213</v>
      </c>
      <c r="C39" s="160" t="s">
        <v>439</v>
      </c>
      <c r="D39" s="160" t="s">
        <v>145</v>
      </c>
      <c r="E39" s="160" t="n">
        <v>16160363</v>
      </c>
      <c r="F39" s="161" t="n">
        <v>71.4</v>
      </c>
      <c r="G39" s="161" t="n">
        <v>68.727</v>
      </c>
      <c r="I39" s="155" t="n">
        <v>5.11</v>
      </c>
      <c r="J39" s="156"/>
    </row>
    <row r="40" s="162" customFormat="true" ht="13.5" hidden="false" customHeight="false" outlineLevel="0" collapsed="false">
      <c r="A40" s="160" t="s">
        <v>215</v>
      </c>
      <c r="B40" s="160" t="s">
        <v>213</v>
      </c>
      <c r="C40" s="160" t="s">
        <v>435</v>
      </c>
      <c r="D40" s="160" t="s">
        <v>145</v>
      </c>
      <c r="E40" s="160" t="n">
        <v>16160368</v>
      </c>
      <c r="F40" s="161" t="n">
        <v>65.931</v>
      </c>
      <c r="G40" s="161" t="n">
        <v>62.138</v>
      </c>
      <c r="H40" s="155"/>
      <c r="I40" s="155" t="n">
        <v>5.11</v>
      </c>
      <c r="J40" s="156"/>
    </row>
    <row r="41" s="6" customFormat="true" ht="13.5" hidden="false" customHeight="false" outlineLevel="0" collapsed="false">
      <c r="A41" s="160" t="s">
        <v>217</v>
      </c>
      <c r="B41" s="160" t="s">
        <v>218</v>
      </c>
      <c r="C41" s="160" t="s">
        <v>432</v>
      </c>
      <c r="D41" s="160" t="s">
        <v>433</v>
      </c>
      <c r="E41" s="160" t="n">
        <v>620007885</v>
      </c>
      <c r="F41" s="161" t="n">
        <v>565</v>
      </c>
      <c r="G41" s="161" t="n">
        <v>365</v>
      </c>
      <c r="H41" s="155"/>
      <c r="I41" s="155"/>
      <c r="J41" s="156" t="n">
        <v>1013.20790216369</v>
      </c>
    </row>
    <row r="42" s="6" customFormat="true" ht="13.5" hidden="false" customHeight="false" outlineLevel="0" collapsed="false">
      <c r="A42" s="160" t="s">
        <v>217</v>
      </c>
      <c r="B42" s="160" t="s">
        <v>218</v>
      </c>
      <c r="C42" s="160" t="s">
        <v>435</v>
      </c>
      <c r="D42" s="160" t="s">
        <v>433</v>
      </c>
      <c r="E42" s="160" t="n">
        <v>620007533</v>
      </c>
      <c r="F42" s="161" t="n">
        <v>327</v>
      </c>
      <c r="G42" s="161" t="n">
        <v>105</v>
      </c>
      <c r="H42" s="155"/>
      <c r="I42" s="155"/>
      <c r="J42" s="156" t="n">
        <v>1013.20790216369</v>
      </c>
    </row>
    <row r="43" s="6" customFormat="true" ht="13.5" hidden="false" customHeight="false" outlineLevel="0" collapsed="false">
      <c r="A43" s="160" t="s">
        <v>217</v>
      </c>
      <c r="B43" s="160" t="s">
        <v>218</v>
      </c>
      <c r="C43" s="160" t="s">
        <v>432</v>
      </c>
      <c r="D43" s="160" t="s">
        <v>433</v>
      </c>
      <c r="E43" s="160" t="n">
        <v>620009124</v>
      </c>
      <c r="F43" s="161" t="n">
        <v>681</v>
      </c>
      <c r="G43" s="161" t="n">
        <v>445</v>
      </c>
      <c r="H43" s="155"/>
      <c r="I43" s="155"/>
      <c r="J43" s="156" t="n">
        <v>1013.20790216369</v>
      </c>
    </row>
    <row r="44" s="6" customFormat="true" ht="13.5" hidden="false" customHeight="false" outlineLevel="0" collapsed="false">
      <c r="A44" s="160" t="s">
        <v>217</v>
      </c>
      <c r="B44" s="160" t="s">
        <v>218</v>
      </c>
      <c r="C44" s="160" t="s">
        <v>435</v>
      </c>
      <c r="D44" s="160" t="s">
        <v>436</v>
      </c>
      <c r="E44" s="160" t="n">
        <v>15989946</v>
      </c>
      <c r="F44" s="161" t="n">
        <v>161.299</v>
      </c>
      <c r="G44" s="161" t="n">
        <v>117.342</v>
      </c>
      <c r="H44" s="155" t="n">
        <v>91.25</v>
      </c>
      <c r="I44" s="155"/>
      <c r="J44" s="156"/>
    </row>
    <row r="45" s="6" customFormat="true" ht="13.5" hidden="false" customHeight="false" outlineLevel="0" collapsed="false">
      <c r="A45" s="160" t="s">
        <v>217</v>
      </c>
      <c r="B45" s="160" t="s">
        <v>218</v>
      </c>
      <c r="C45" s="160" t="s">
        <v>435</v>
      </c>
      <c r="D45" s="160" t="s">
        <v>145</v>
      </c>
      <c r="E45" s="160" t="n">
        <v>15997904</v>
      </c>
      <c r="F45" s="161" t="n">
        <v>81.744</v>
      </c>
      <c r="G45" s="161" t="n">
        <v>61.765</v>
      </c>
      <c r="H45" s="155"/>
      <c r="I45" s="155" t="n">
        <v>15.21</v>
      </c>
      <c r="J45" s="156"/>
    </row>
    <row r="46" s="162" customFormat="true" ht="13.5" hidden="false" customHeight="false" outlineLevel="0" collapsed="false">
      <c r="A46" s="160" t="s">
        <v>220</v>
      </c>
      <c r="B46" s="160" t="s">
        <v>221</v>
      </c>
      <c r="C46" s="160" t="s">
        <v>432</v>
      </c>
      <c r="D46" s="160" t="s">
        <v>433</v>
      </c>
      <c r="E46" s="160" t="n">
        <v>611095532</v>
      </c>
      <c r="F46" s="161" t="n">
        <v>800</v>
      </c>
      <c r="G46" s="161" t="n">
        <v>1770</v>
      </c>
      <c r="H46" s="155"/>
      <c r="I46" s="155"/>
      <c r="J46" s="156" t="n">
        <v>1350.94386955158</v>
      </c>
      <c r="K46" s="109"/>
    </row>
    <row r="47" s="162" customFormat="true" ht="13.5" hidden="false" customHeight="false" outlineLevel="0" collapsed="false">
      <c r="A47" s="160" t="s">
        <v>220</v>
      </c>
      <c r="B47" s="160" t="s">
        <v>221</v>
      </c>
      <c r="C47" s="160" t="s">
        <v>432</v>
      </c>
      <c r="D47" s="160" t="s">
        <v>433</v>
      </c>
      <c r="E47" s="160" t="n">
        <v>611095464</v>
      </c>
      <c r="F47" s="161" t="n">
        <v>774</v>
      </c>
      <c r="G47" s="161" t="n">
        <v>2531</v>
      </c>
      <c r="H47" s="155"/>
      <c r="I47" s="155"/>
      <c r="J47" s="156" t="n">
        <v>1350.94386955158</v>
      </c>
    </row>
    <row r="48" s="162" customFormat="true" ht="13.5" hidden="false" customHeight="false" outlineLevel="0" collapsed="false">
      <c r="A48" s="160" t="s">
        <v>220</v>
      </c>
      <c r="B48" s="160" t="s">
        <v>221</v>
      </c>
      <c r="C48" s="160" t="s">
        <v>435</v>
      </c>
      <c r="D48" s="160" t="s">
        <v>433</v>
      </c>
      <c r="E48" s="160" t="n">
        <v>611095518</v>
      </c>
      <c r="F48" s="161" t="n">
        <v>1175</v>
      </c>
      <c r="G48" s="161" t="n">
        <v>2303</v>
      </c>
      <c r="H48" s="155"/>
      <c r="I48" s="155"/>
      <c r="J48" s="156" t="n">
        <v>1350.94386955158</v>
      </c>
      <c r="K48" s="109"/>
    </row>
    <row r="49" s="162" customFormat="true" ht="13.5" hidden="false" customHeight="false" outlineLevel="0" collapsed="false">
      <c r="A49" s="160" t="s">
        <v>220</v>
      </c>
      <c r="B49" s="160" t="s">
        <v>221</v>
      </c>
      <c r="C49" s="160" t="s">
        <v>435</v>
      </c>
      <c r="D49" s="160" t="s">
        <v>436</v>
      </c>
      <c r="E49" s="160" t="n">
        <v>15990189</v>
      </c>
      <c r="F49" s="161" t="n">
        <v>94.64</v>
      </c>
      <c r="G49" s="161" t="n">
        <v>81.414</v>
      </c>
      <c r="H49" s="155" t="n">
        <v>91</v>
      </c>
      <c r="I49" s="155"/>
      <c r="J49" s="156"/>
    </row>
    <row r="50" s="162" customFormat="true" ht="13.5" hidden="false" customHeight="false" outlineLevel="0" collapsed="false">
      <c r="A50" s="160" t="s">
        <v>220</v>
      </c>
      <c r="B50" s="160" t="s">
        <v>221</v>
      </c>
      <c r="C50" s="160" t="s">
        <v>435</v>
      </c>
      <c r="D50" s="160" t="s">
        <v>145</v>
      </c>
      <c r="E50" s="160" t="n">
        <v>16129394</v>
      </c>
      <c r="F50" s="161" t="n">
        <v>37.846</v>
      </c>
      <c r="G50" s="161" t="n">
        <v>30.718</v>
      </c>
      <c r="H50" s="155"/>
      <c r="I50" s="155" t="n">
        <v>15.1666666666667</v>
      </c>
      <c r="J50" s="156"/>
      <c r="K50" s="109"/>
    </row>
    <row r="51" s="162" customFormat="true" ht="13.5" hidden="false" customHeight="false" outlineLevel="0" collapsed="false">
      <c r="A51" s="160" t="s">
        <v>223</v>
      </c>
      <c r="B51" s="160" t="s">
        <v>221</v>
      </c>
      <c r="C51" s="160" t="s">
        <v>432</v>
      </c>
      <c r="D51" s="160" t="s">
        <v>433</v>
      </c>
      <c r="E51" s="160" t="n">
        <v>611095532</v>
      </c>
      <c r="F51" s="161" t="n">
        <v>541</v>
      </c>
      <c r="G51" s="161" t="n">
        <v>800</v>
      </c>
      <c r="H51" s="155"/>
      <c r="I51" s="155"/>
      <c r="J51" s="156" t="n">
        <v>2026.41580432738</v>
      </c>
    </row>
    <row r="52" s="162" customFormat="true" ht="13.5" hidden="false" customHeight="false" outlineLevel="0" collapsed="false">
      <c r="A52" s="160" t="s">
        <v>223</v>
      </c>
      <c r="B52" s="160" t="s">
        <v>221</v>
      </c>
      <c r="C52" s="160" t="s">
        <v>432</v>
      </c>
      <c r="D52" s="160" t="s">
        <v>433</v>
      </c>
      <c r="E52" s="160" t="n">
        <v>611095464</v>
      </c>
      <c r="F52" s="161" t="n">
        <v>179</v>
      </c>
      <c r="G52" s="161"/>
      <c r="H52" s="155"/>
      <c r="I52" s="155"/>
      <c r="J52" s="156" t="n">
        <v>2026.41580432738</v>
      </c>
      <c r="K52" s="109"/>
    </row>
    <row r="53" s="162" customFormat="true" ht="13.5" hidden="false" customHeight="false" outlineLevel="0" collapsed="false">
      <c r="A53" s="160" t="s">
        <v>223</v>
      </c>
      <c r="B53" s="160" t="s">
        <v>221</v>
      </c>
      <c r="C53" s="160" t="s">
        <v>435</v>
      </c>
      <c r="D53" s="160" t="s">
        <v>433</v>
      </c>
      <c r="E53" s="160" t="n">
        <v>611095518</v>
      </c>
      <c r="F53" s="161" t="n">
        <v>382</v>
      </c>
      <c r="G53" s="161"/>
      <c r="H53" s="155"/>
      <c r="I53" s="155"/>
      <c r="J53" s="156" t="n">
        <v>2026.41580432738</v>
      </c>
    </row>
    <row r="54" s="162" customFormat="true" ht="13.5" hidden="false" customHeight="false" outlineLevel="0" collapsed="false">
      <c r="A54" s="160" t="s">
        <v>223</v>
      </c>
      <c r="B54" s="160" t="s">
        <v>221</v>
      </c>
      <c r="C54" s="160" t="s">
        <v>435</v>
      </c>
      <c r="D54" s="160" t="s">
        <v>436</v>
      </c>
      <c r="E54" s="160" t="n">
        <v>15990189</v>
      </c>
      <c r="F54" s="161" t="n">
        <v>97.146</v>
      </c>
      <c r="G54" s="161" t="n">
        <v>94.64</v>
      </c>
      <c r="H54" s="155" t="n">
        <v>46</v>
      </c>
      <c r="I54" s="155"/>
      <c r="J54" s="156"/>
      <c r="K54" s="109"/>
    </row>
    <row r="55" s="162" customFormat="true" ht="13.5" hidden="false" customHeight="false" outlineLevel="0" collapsed="false">
      <c r="A55" s="160" t="s">
        <v>223</v>
      </c>
      <c r="B55" s="160" t="s">
        <v>221</v>
      </c>
      <c r="C55" s="160" t="s">
        <v>435</v>
      </c>
      <c r="D55" s="160" t="s">
        <v>145</v>
      </c>
      <c r="E55" s="160" t="n">
        <v>16129394</v>
      </c>
      <c r="F55" s="161" t="n">
        <v>38.4</v>
      </c>
      <c r="G55" s="161" t="n">
        <v>37.846</v>
      </c>
      <c r="H55" s="155"/>
      <c r="I55" s="155" t="n">
        <v>7.66666666666667</v>
      </c>
      <c r="J55" s="156"/>
    </row>
    <row r="56" customFormat="false" ht="13.5" hidden="false" customHeight="false" outlineLevel="0" collapsed="false">
      <c r="A56" s="160" t="s">
        <v>225</v>
      </c>
      <c r="B56" s="160" t="s">
        <v>226</v>
      </c>
      <c r="C56" s="160" t="s">
        <v>438</v>
      </c>
      <c r="D56" s="160" t="s">
        <v>433</v>
      </c>
      <c r="E56" s="160" t="n">
        <v>611095204</v>
      </c>
      <c r="F56" s="161" t="n">
        <v>1742</v>
      </c>
      <c r="G56" s="161" t="n">
        <v>761</v>
      </c>
      <c r="J56" s="156" t="n">
        <v>1350.94386955158</v>
      </c>
    </row>
    <row r="57" customFormat="false" ht="13.5" hidden="false" customHeight="false" outlineLevel="0" collapsed="false">
      <c r="A57" s="160" t="s">
        <v>225</v>
      </c>
      <c r="B57" s="160" t="s">
        <v>226</v>
      </c>
      <c r="C57" s="160" t="s">
        <v>432</v>
      </c>
      <c r="D57" s="160" t="s">
        <v>433</v>
      </c>
      <c r="E57" s="160" t="n">
        <v>611095983</v>
      </c>
      <c r="F57" s="161" t="n">
        <v>1721</v>
      </c>
      <c r="G57" s="161" t="n">
        <v>609</v>
      </c>
      <c r="J57" s="156" t="n">
        <v>1350.94386955158</v>
      </c>
    </row>
    <row r="58" customFormat="false" ht="13.5" hidden="false" customHeight="false" outlineLevel="0" collapsed="false">
      <c r="A58" s="160" t="s">
        <v>225</v>
      </c>
      <c r="B58" s="160" t="s">
        <v>226</v>
      </c>
      <c r="C58" s="160" t="s">
        <v>435</v>
      </c>
      <c r="D58" s="160" t="s">
        <v>433</v>
      </c>
      <c r="E58" s="160" t="n">
        <v>611095235</v>
      </c>
      <c r="F58" s="161" t="n">
        <v>229</v>
      </c>
      <c r="G58" s="161" t="n">
        <v>50</v>
      </c>
      <c r="J58" s="156" t="n">
        <v>1350.94386955158</v>
      </c>
    </row>
    <row r="59" customFormat="false" ht="13.5" hidden="false" customHeight="false" outlineLevel="0" collapsed="false">
      <c r="A59" s="160" t="s">
        <v>225</v>
      </c>
      <c r="B59" s="160" t="s">
        <v>226</v>
      </c>
      <c r="C59" s="160" t="s">
        <v>434</v>
      </c>
      <c r="D59" s="160" t="s">
        <v>433</v>
      </c>
      <c r="E59" s="160" t="n">
        <v>611095211</v>
      </c>
      <c r="F59" s="161" t="n">
        <v>547</v>
      </c>
      <c r="G59" s="161" t="n">
        <v>1439</v>
      </c>
      <c r="J59" s="156" t="n">
        <v>1350.94386955158</v>
      </c>
    </row>
    <row r="60" customFormat="false" ht="13.5" hidden="false" customHeight="false" outlineLevel="0" collapsed="false">
      <c r="A60" s="160" t="s">
        <v>225</v>
      </c>
      <c r="B60" s="160" t="s">
        <v>226</v>
      </c>
      <c r="C60" s="160" t="s">
        <v>432</v>
      </c>
      <c r="D60" s="160" t="s">
        <v>433</v>
      </c>
      <c r="E60" s="160" t="n">
        <v>611096027</v>
      </c>
      <c r="F60" s="161" t="n">
        <v>541</v>
      </c>
      <c r="G60" s="161" t="n">
        <v>569</v>
      </c>
      <c r="J60" s="156" t="n">
        <v>1350.94386955158</v>
      </c>
    </row>
    <row r="61" customFormat="false" ht="13.5" hidden="false" customHeight="false" outlineLevel="0" collapsed="false">
      <c r="A61" s="160" t="s">
        <v>225</v>
      </c>
      <c r="B61" s="160" t="s">
        <v>226</v>
      </c>
      <c r="C61" s="160" t="s">
        <v>439</v>
      </c>
      <c r="D61" s="160" t="s">
        <v>436</v>
      </c>
      <c r="E61" s="160" t="n">
        <v>16201339</v>
      </c>
      <c r="F61" s="161" t="n">
        <v>118.792</v>
      </c>
      <c r="G61" s="161" t="n">
        <v>94.961</v>
      </c>
      <c r="H61" s="155" t="n">
        <v>60.835</v>
      </c>
      <c r="J61" s="156"/>
    </row>
    <row r="62" customFormat="false" ht="13.5" hidden="false" customHeight="false" outlineLevel="0" collapsed="false">
      <c r="A62" s="160" t="s">
        <v>225</v>
      </c>
      <c r="B62" s="160" t="s">
        <v>226</v>
      </c>
      <c r="C62" s="160" t="s">
        <v>435</v>
      </c>
      <c r="D62" s="160" t="s">
        <v>436</v>
      </c>
      <c r="E62" s="160" t="n">
        <v>16201328</v>
      </c>
      <c r="F62" s="161" t="n">
        <v>128.673</v>
      </c>
      <c r="G62" s="161" t="n">
        <v>114.837</v>
      </c>
      <c r="H62" s="155" t="n">
        <v>60.835</v>
      </c>
      <c r="J62" s="156"/>
    </row>
    <row r="63" customFormat="false" ht="13.5" hidden="false" customHeight="false" outlineLevel="0" collapsed="false">
      <c r="A63" s="160" t="s">
        <v>225</v>
      </c>
      <c r="B63" s="160" t="s">
        <v>226</v>
      </c>
      <c r="C63" s="160" t="s">
        <v>439</v>
      </c>
      <c r="D63" s="160" t="s">
        <v>145</v>
      </c>
      <c r="E63" s="160" t="n">
        <v>16160294</v>
      </c>
      <c r="F63" s="161" t="n">
        <v>14.672</v>
      </c>
      <c r="G63" s="161" t="n">
        <v>13.171</v>
      </c>
      <c r="I63" s="155" t="n">
        <v>20.2766666666667</v>
      </c>
      <c r="J63" s="156"/>
    </row>
    <row r="64" customFormat="false" ht="13.5" hidden="false" customHeight="false" outlineLevel="0" collapsed="false">
      <c r="A64" s="160" t="s">
        <v>225</v>
      </c>
      <c r="B64" s="160" t="s">
        <v>226</v>
      </c>
      <c r="C64" s="160" t="s">
        <v>435</v>
      </c>
      <c r="D64" s="160" t="s">
        <v>145</v>
      </c>
      <c r="E64" s="160" t="n">
        <v>16160297</v>
      </c>
      <c r="F64" s="161" t="n">
        <v>51.116</v>
      </c>
      <c r="G64" s="161" t="n">
        <v>48.617</v>
      </c>
      <c r="I64" s="155" t="n">
        <v>20.2766666666667</v>
      </c>
      <c r="J64" s="156"/>
    </row>
    <row r="65" customFormat="false" ht="13.5" hidden="false" customHeight="false" outlineLevel="0" collapsed="false">
      <c r="A65" s="160" t="s">
        <v>228</v>
      </c>
      <c r="B65" s="160" t="s">
        <v>229</v>
      </c>
      <c r="C65" s="160" t="s">
        <v>434</v>
      </c>
      <c r="D65" s="160" t="s">
        <v>433</v>
      </c>
      <c r="E65" s="160" t="n">
        <v>607269671</v>
      </c>
      <c r="F65" s="161" t="n">
        <v>1835</v>
      </c>
      <c r="G65" s="161" t="n">
        <v>1557</v>
      </c>
      <c r="J65" s="156" t="n">
        <v>844.33991846974</v>
      </c>
    </row>
    <row r="66" customFormat="false" ht="13.5" hidden="false" customHeight="false" outlineLevel="0" collapsed="false">
      <c r="A66" s="160" t="s">
        <v>228</v>
      </c>
      <c r="B66" s="160" t="s">
        <v>229</v>
      </c>
      <c r="C66" s="160" t="s">
        <v>415</v>
      </c>
      <c r="D66" s="160" t="s">
        <v>433</v>
      </c>
      <c r="E66" s="160" t="n">
        <v>607269787</v>
      </c>
      <c r="F66" s="161" t="n">
        <v>3156</v>
      </c>
      <c r="G66" s="161" t="n">
        <v>1878</v>
      </c>
      <c r="J66" s="156" t="n">
        <v>844.33991846974</v>
      </c>
    </row>
    <row r="67" customFormat="false" ht="13.5" hidden="false" customHeight="false" outlineLevel="0" collapsed="false">
      <c r="A67" s="160" t="s">
        <v>228</v>
      </c>
      <c r="B67" s="160" t="s">
        <v>229</v>
      </c>
      <c r="C67" s="160" t="s">
        <v>432</v>
      </c>
      <c r="D67" s="160" t="s">
        <v>433</v>
      </c>
      <c r="E67" s="160" t="n">
        <v>607269756</v>
      </c>
      <c r="F67" s="161" t="n">
        <v>1576</v>
      </c>
      <c r="G67" s="161" t="n">
        <v>1733</v>
      </c>
      <c r="J67" s="156" t="n">
        <v>844.33991846974</v>
      </c>
    </row>
    <row r="68" customFormat="false" ht="13.5" hidden="false" customHeight="false" outlineLevel="0" collapsed="false">
      <c r="A68" s="160" t="s">
        <v>228</v>
      </c>
      <c r="B68" s="160" t="s">
        <v>229</v>
      </c>
      <c r="C68" s="160" t="s">
        <v>435</v>
      </c>
      <c r="D68" s="160" t="s">
        <v>433</v>
      </c>
      <c r="E68" s="160" t="n">
        <v>607269718</v>
      </c>
      <c r="F68" s="161" t="n">
        <v>3552</v>
      </c>
      <c r="G68" s="161" t="n">
        <v>3575</v>
      </c>
      <c r="J68" s="156" t="n">
        <v>844.33991846974</v>
      </c>
    </row>
    <row r="69" customFormat="false" ht="13.5" hidden="false" customHeight="false" outlineLevel="0" collapsed="false">
      <c r="A69" s="160" t="s">
        <v>228</v>
      </c>
      <c r="B69" s="160" t="s">
        <v>229</v>
      </c>
      <c r="C69" s="160" t="s">
        <v>432</v>
      </c>
      <c r="D69" s="160" t="s">
        <v>433</v>
      </c>
      <c r="E69" s="160" t="n">
        <v>607269794</v>
      </c>
      <c r="F69" s="161" t="n">
        <v>3941</v>
      </c>
      <c r="G69" s="161" t="n">
        <v>2503</v>
      </c>
      <c r="J69" s="156" t="n">
        <v>844.33991846974</v>
      </c>
    </row>
    <row r="70" customFormat="false" ht="13.5" hidden="false" customHeight="false" outlineLevel="0" collapsed="false">
      <c r="A70" s="160" t="s">
        <v>228</v>
      </c>
      <c r="B70" s="160" t="s">
        <v>229</v>
      </c>
      <c r="C70" s="160" t="s">
        <v>435</v>
      </c>
      <c r="D70" s="160" t="s">
        <v>436</v>
      </c>
      <c r="E70" s="160" t="n">
        <v>16201324</v>
      </c>
      <c r="F70" s="161" t="n">
        <v>193.786</v>
      </c>
      <c r="G70" s="161" t="n">
        <v>164.511</v>
      </c>
      <c r="H70" s="155" t="n">
        <v>76.04</v>
      </c>
      <c r="J70" s="156"/>
    </row>
    <row r="71" customFormat="false" ht="13.5" hidden="false" customHeight="false" outlineLevel="0" collapsed="false">
      <c r="A71" s="160" t="s">
        <v>228</v>
      </c>
      <c r="B71" s="160" t="s">
        <v>229</v>
      </c>
      <c r="C71" s="160" t="s">
        <v>435</v>
      </c>
      <c r="D71" s="160" t="s">
        <v>145</v>
      </c>
      <c r="E71" s="160" t="n">
        <v>16160295</v>
      </c>
      <c r="F71" s="161" t="n">
        <v>60.704</v>
      </c>
      <c r="G71" s="161" t="n">
        <v>52.365</v>
      </c>
      <c r="I71" s="155" t="n">
        <v>12.6733333333333</v>
      </c>
      <c r="J71" s="156"/>
    </row>
    <row r="72" customFormat="false" ht="13.5" hidden="false" customHeight="false" outlineLevel="0" collapsed="false">
      <c r="A72" s="160" t="s">
        <v>231</v>
      </c>
      <c r="B72" s="160" t="s">
        <v>232</v>
      </c>
      <c r="C72" s="160" t="s">
        <v>432</v>
      </c>
      <c r="D72" s="160" t="s">
        <v>433</v>
      </c>
      <c r="E72" s="160" t="n">
        <v>611095303</v>
      </c>
      <c r="F72" s="161" t="n">
        <v>2566</v>
      </c>
      <c r="G72" s="161" t="n">
        <v>1976</v>
      </c>
      <c r="J72" s="156" t="n">
        <v>844.33991846974</v>
      </c>
    </row>
    <row r="73" s="109" customFormat="true" ht="13.5" hidden="false" customHeight="false" outlineLevel="0" collapsed="false">
      <c r="A73" s="160" t="s">
        <v>231</v>
      </c>
      <c r="B73" s="160" t="s">
        <v>232</v>
      </c>
      <c r="C73" s="160" t="s">
        <v>432</v>
      </c>
      <c r="D73" s="160" t="s">
        <v>433</v>
      </c>
      <c r="E73" s="160" t="n">
        <v>611095426</v>
      </c>
      <c r="F73" s="161" t="n">
        <v>2499</v>
      </c>
      <c r="G73" s="161" t="n">
        <v>2882</v>
      </c>
      <c r="H73" s="155"/>
      <c r="I73" s="155"/>
      <c r="J73" s="156" t="n">
        <v>844.33991846974</v>
      </c>
    </row>
    <row r="74" customFormat="false" ht="13.5" hidden="false" customHeight="false" outlineLevel="0" collapsed="false">
      <c r="A74" s="160" t="s">
        <v>231</v>
      </c>
      <c r="B74" s="160" t="s">
        <v>232</v>
      </c>
      <c r="C74" s="160" t="s">
        <v>432</v>
      </c>
      <c r="D74" s="160" t="s">
        <v>433</v>
      </c>
      <c r="E74" s="160" t="n">
        <v>611095259</v>
      </c>
      <c r="F74" s="161" t="n">
        <v>281</v>
      </c>
      <c r="G74" s="161" t="n">
        <v>20</v>
      </c>
      <c r="J74" s="156" t="n">
        <v>844.33991846974</v>
      </c>
    </row>
    <row r="75" customFormat="false" ht="13.5" hidden="false" customHeight="false" outlineLevel="0" collapsed="false">
      <c r="A75" s="160" t="s">
        <v>231</v>
      </c>
      <c r="B75" s="160" t="s">
        <v>232</v>
      </c>
      <c r="C75" s="160" t="s">
        <v>435</v>
      </c>
      <c r="D75" s="160" t="s">
        <v>433</v>
      </c>
      <c r="E75" s="160" t="n">
        <v>611095341</v>
      </c>
      <c r="F75" s="161" t="n">
        <v>1987</v>
      </c>
      <c r="G75" s="161" t="n">
        <v>2343</v>
      </c>
      <c r="J75" s="156" t="n">
        <v>844.33991846974</v>
      </c>
    </row>
    <row r="76" customFormat="false" ht="13.5" hidden="false" customHeight="false" outlineLevel="0" collapsed="false">
      <c r="A76" s="160" t="s">
        <v>231</v>
      </c>
      <c r="B76" s="160" t="s">
        <v>232</v>
      </c>
      <c r="C76" s="160" t="s">
        <v>434</v>
      </c>
      <c r="D76" s="160" t="s">
        <v>433</v>
      </c>
      <c r="E76" s="160" t="n">
        <v>611095327</v>
      </c>
      <c r="F76" s="161" t="n">
        <v>143</v>
      </c>
      <c r="G76" s="161" t="n">
        <v>176</v>
      </c>
      <c r="J76" s="156" t="n">
        <v>844.33991846974</v>
      </c>
    </row>
    <row r="77" customFormat="false" ht="13.5" hidden="false" customHeight="false" outlineLevel="0" collapsed="false">
      <c r="A77" s="160" t="s">
        <v>231</v>
      </c>
      <c r="B77" s="160" t="s">
        <v>232</v>
      </c>
      <c r="C77" s="160" t="s">
        <v>435</v>
      </c>
      <c r="D77" s="160" t="s">
        <v>436</v>
      </c>
      <c r="E77" s="160" t="n">
        <v>16128979</v>
      </c>
      <c r="F77" s="161" t="n">
        <v>155.209</v>
      </c>
      <c r="G77" s="161" t="n">
        <v>135.865</v>
      </c>
      <c r="H77" s="155" t="n">
        <v>76.04</v>
      </c>
      <c r="J77" s="156"/>
    </row>
    <row r="78" s="164" customFormat="true" ht="13.5" hidden="false" customHeight="false" outlineLevel="0" collapsed="false">
      <c r="A78" s="160" t="s">
        <v>231</v>
      </c>
      <c r="B78" s="160" t="s">
        <v>232</v>
      </c>
      <c r="C78" s="160" t="s">
        <v>435</v>
      </c>
      <c r="D78" s="160" t="s">
        <v>145</v>
      </c>
      <c r="E78" s="160" t="n">
        <v>15997896</v>
      </c>
      <c r="F78" s="161" t="n">
        <v>59.691</v>
      </c>
      <c r="G78" s="161" t="n">
        <v>47.727</v>
      </c>
      <c r="H78" s="155"/>
      <c r="I78" s="155" t="n">
        <v>12.6733333333333</v>
      </c>
      <c r="J78" s="156"/>
    </row>
    <row r="79" s="6" customFormat="true" ht="13.5" hidden="false" customHeight="false" outlineLevel="0" collapsed="false">
      <c r="A79" s="160" t="s">
        <v>235</v>
      </c>
      <c r="B79" s="160" t="s">
        <v>332</v>
      </c>
      <c r="C79" s="160"/>
      <c r="D79" s="160" t="s">
        <v>433</v>
      </c>
      <c r="E79" s="160" t="n">
        <v>602560100</v>
      </c>
      <c r="F79" s="161" t="n">
        <v>233</v>
      </c>
      <c r="G79" s="161" t="n">
        <v>50</v>
      </c>
      <c r="H79" s="155"/>
      <c r="I79" s="155"/>
      <c r="J79" s="156" t="n">
        <v>337.735967387896</v>
      </c>
    </row>
    <row r="80" s="6" customFormat="true" ht="13.5" hidden="false" customHeight="false" outlineLevel="0" collapsed="false">
      <c r="A80" s="160" t="s">
        <v>235</v>
      </c>
      <c r="B80" s="160" t="s">
        <v>332</v>
      </c>
      <c r="C80" s="160"/>
      <c r="D80" s="160" t="s">
        <v>433</v>
      </c>
      <c r="E80" s="160" t="n">
        <v>602560025</v>
      </c>
      <c r="F80" s="161" t="n">
        <v>2161</v>
      </c>
      <c r="G80" s="161" t="n">
        <v>984</v>
      </c>
      <c r="H80" s="155"/>
      <c r="I80" s="155"/>
      <c r="J80" s="156" t="n">
        <v>337.735967387896</v>
      </c>
    </row>
    <row r="81" s="6" customFormat="true" ht="13.5" hidden="false" customHeight="false" outlineLevel="0" collapsed="false">
      <c r="A81" s="160" t="s">
        <v>235</v>
      </c>
      <c r="B81" s="160" t="s">
        <v>332</v>
      </c>
      <c r="C81" s="160"/>
      <c r="D81" s="160" t="s">
        <v>433</v>
      </c>
      <c r="E81" s="160" t="n">
        <v>602560087</v>
      </c>
      <c r="F81" s="161" t="n">
        <v>623</v>
      </c>
      <c r="G81" s="161" t="n">
        <v>93</v>
      </c>
      <c r="H81" s="155"/>
      <c r="I81" s="155"/>
      <c r="J81" s="156" t="n">
        <v>337.735967387896</v>
      </c>
    </row>
    <row r="82" s="6" customFormat="true" ht="13.5" hidden="false" customHeight="false" outlineLevel="0" collapsed="false">
      <c r="A82" s="160" t="s">
        <v>235</v>
      </c>
      <c r="B82" s="160" t="s">
        <v>332</v>
      </c>
      <c r="C82" s="160"/>
      <c r="D82" s="160" t="s">
        <v>433</v>
      </c>
      <c r="E82" s="160" t="n">
        <v>602560094</v>
      </c>
      <c r="F82" s="161" t="n">
        <v>1882</v>
      </c>
      <c r="G82" s="161" t="n">
        <v>798</v>
      </c>
      <c r="H82" s="155"/>
      <c r="I82" s="155"/>
      <c r="J82" s="156" t="n">
        <v>337.735967387896</v>
      </c>
    </row>
    <row r="83" s="6" customFormat="true" ht="13.5" hidden="false" customHeight="false" outlineLevel="0" collapsed="false">
      <c r="A83" s="160" t="s">
        <v>235</v>
      </c>
      <c r="B83" s="160" t="s">
        <v>332</v>
      </c>
      <c r="C83" s="160" t="s">
        <v>435</v>
      </c>
      <c r="D83" s="160" t="s">
        <v>433</v>
      </c>
      <c r="E83" s="160" t="n">
        <v>605059328</v>
      </c>
      <c r="F83" s="161" t="n">
        <v>473</v>
      </c>
      <c r="G83" s="161" t="n">
        <v>169</v>
      </c>
      <c r="H83" s="155"/>
      <c r="I83" s="155"/>
      <c r="J83" s="156" t="n">
        <v>337.735967387896</v>
      </c>
    </row>
    <row r="84" s="6" customFormat="true" ht="13.5" hidden="false" customHeight="false" outlineLevel="0" collapsed="false">
      <c r="A84" s="160" t="s">
        <v>235</v>
      </c>
      <c r="B84" s="160" t="s">
        <v>332</v>
      </c>
      <c r="C84" s="160" t="s">
        <v>441</v>
      </c>
      <c r="D84" s="160" t="s">
        <v>433</v>
      </c>
      <c r="E84" s="160" t="n">
        <v>602560049</v>
      </c>
      <c r="F84" s="161" t="n">
        <v>965</v>
      </c>
      <c r="G84" s="161" t="n">
        <v>303</v>
      </c>
      <c r="H84" s="155"/>
      <c r="I84" s="155"/>
      <c r="J84" s="156" t="n">
        <v>337.735967387896</v>
      </c>
    </row>
    <row r="85" s="6" customFormat="true" ht="13.5" hidden="false" customHeight="false" outlineLevel="0" collapsed="false">
      <c r="A85" s="160" t="s">
        <v>235</v>
      </c>
      <c r="B85" s="160" t="s">
        <v>332</v>
      </c>
      <c r="C85" s="160" t="s">
        <v>415</v>
      </c>
      <c r="D85" s="160" t="s">
        <v>433</v>
      </c>
      <c r="E85" s="160" t="n">
        <v>605059366</v>
      </c>
      <c r="F85" s="161" t="n">
        <v>193</v>
      </c>
      <c r="G85" s="161" t="n">
        <v>118</v>
      </c>
      <c r="H85" s="155"/>
      <c r="I85" s="155"/>
      <c r="J85" s="156" t="n">
        <v>337.735967387896</v>
      </c>
    </row>
    <row r="86" s="6" customFormat="true" ht="13.5" hidden="false" customHeight="false" outlineLevel="0" collapsed="false">
      <c r="A86" s="160" t="s">
        <v>235</v>
      </c>
      <c r="B86" s="160" t="s">
        <v>332</v>
      </c>
      <c r="C86" s="160" t="s">
        <v>432</v>
      </c>
      <c r="D86" s="160" t="s">
        <v>433</v>
      </c>
      <c r="E86" s="160" t="n">
        <v>602560018</v>
      </c>
      <c r="F86" s="161" t="n">
        <v>2499</v>
      </c>
      <c r="G86" s="161" t="n">
        <v>1001</v>
      </c>
      <c r="H86" s="155"/>
      <c r="I86" s="155"/>
      <c r="J86" s="156" t="n">
        <v>337.735967387896</v>
      </c>
    </row>
    <row r="87" s="6" customFormat="true" ht="13.5" hidden="false" customHeight="false" outlineLevel="0" collapsed="false">
      <c r="A87" s="160" t="s">
        <v>235</v>
      </c>
      <c r="B87" s="160" t="s">
        <v>332</v>
      </c>
      <c r="C87" s="160" t="s">
        <v>432</v>
      </c>
      <c r="D87" s="160" t="s">
        <v>433</v>
      </c>
      <c r="E87" s="160" t="n">
        <v>605059250</v>
      </c>
      <c r="F87" s="161" t="n">
        <v>1808</v>
      </c>
      <c r="G87" s="161" t="n">
        <v>697</v>
      </c>
      <c r="H87" s="155"/>
      <c r="I87" s="155"/>
      <c r="J87" s="156" t="n">
        <v>337.735967387896</v>
      </c>
    </row>
    <row r="88" s="6" customFormat="true" ht="13.5" hidden="false" customHeight="false" outlineLevel="0" collapsed="false">
      <c r="A88" s="160" t="s">
        <v>235</v>
      </c>
      <c r="B88" s="160" t="s">
        <v>332</v>
      </c>
      <c r="C88" s="160" t="s">
        <v>442</v>
      </c>
      <c r="D88" s="160" t="s">
        <v>433</v>
      </c>
      <c r="E88" s="160" t="n">
        <v>602560063</v>
      </c>
      <c r="F88" s="161" t="n">
        <v>1818</v>
      </c>
      <c r="G88" s="161" t="n">
        <v>700</v>
      </c>
      <c r="H88" s="155"/>
      <c r="I88" s="155"/>
      <c r="J88" s="156" t="n">
        <v>337.735967387896</v>
      </c>
    </row>
    <row r="89" s="6" customFormat="true" ht="13.5" hidden="false" customHeight="false" outlineLevel="0" collapsed="false">
      <c r="A89" s="160" t="s">
        <v>235</v>
      </c>
      <c r="B89" s="160" t="s">
        <v>332</v>
      </c>
      <c r="C89" s="160" t="s">
        <v>443</v>
      </c>
      <c r="D89" s="160" t="s">
        <v>436</v>
      </c>
      <c r="E89" s="160" t="n">
        <v>16128910</v>
      </c>
      <c r="F89" s="161" t="n">
        <v>144.875</v>
      </c>
      <c r="G89" s="161" t="n">
        <v>128.455</v>
      </c>
      <c r="H89" s="155" t="n">
        <v>15.21</v>
      </c>
      <c r="I89" s="155"/>
      <c r="J89" s="156"/>
    </row>
    <row r="90" s="6" customFormat="true" ht="13.5" hidden="false" customHeight="false" outlineLevel="0" collapsed="false">
      <c r="A90" s="160" t="s">
        <v>235</v>
      </c>
      <c r="B90" s="160" t="s">
        <v>332</v>
      </c>
      <c r="C90" s="160" t="s">
        <v>439</v>
      </c>
      <c r="D90" s="160" t="s">
        <v>436</v>
      </c>
      <c r="E90" s="160" t="n">
        <v>16128976</v>
      </c>
      <c r="F90" s="161" t="n">
        <v>393.974</v>
      </c>
      <c r="G90" s="161" t="n">
        <v>220.939</v>
      </c>
      <c r="H90" s="155" t="n">
        <v>15.21</v>
      </c>
      <c r="I90" s="155"/>
      <c r="J90" s="156"/>
    </row>
    <row r="91" s="6" customFormat="true" ht="13.5" hidden="false" customHeight="false" outlineLevel="0" collapsed="false">
      <c r="A91" s="160" t="s">
        <v>235</v>
      </c>
      <c r="B91" s="160" t="s">
        <v>332</v>
      </c>
      <c r="C91" s="160" t="s">
        <v>435</v>
      </c>
      <c r="D91" s="160" t="s">
        <v>145</v>
      </c>
      <c r="E91" s="160" t="n">
        <v>15997869</v>
      </c>
      <c r="F91" s="161" t="n">
        <v>66.39</v>
      </c>
      <c r="G91" s="161" t="n">
        <v>63.539</v>
      </c>
      <c r="H91" s="155"/>
      <c r="I91" s="155" t="n">
        <v>5.07</v>
      </c>
      <c r="J91" s="156"/>
    </row>
    <row r="92" s="6" customFormat="true" ht="13.5" hidden="false" customHeight="false" outlineLevel="0" collapsed="false">
      <c r="A92" s="160" t="s">
        <v>235</v>
      </c>
      <c r="B92" s="160" t="s">
        <v>332</v>
      </c>
      <c r="C92" s="160" t="s">
        <v>439</v>
      </c>
      <c r="D92" s="160" t="s">
        <v>145</v>
      </c>
      <c r="E92" s="160" t="n">
        <v>15997730</v>
      </c>
      <c r="F92" s="161" t="n">
        <v>177.738</v>
      </c>
      <c r="G92" s="161" t="n">
        <v>100.479</v>
      </c>
      <c r="H92" s="155"/>
      <c r="I92" s="155" t="n">
        <v>5.07</v>
      </c>
      <c r="J92" s="156"/>
    </row>
    <row r="93" customFormat="false" ht="13.5" hidden="false" customHeight="false" outlineLevel="0" collapsed="false">
      <c r="A93" s="160" t="s">
        <v>238</v>
      </c>
      <c r="B93" s="160" t="s">
        <v>239</v>
      </c>
      <c r="C93" s="160" t="s">
        <v>441</v>
      </c>
      <c r="D93" s="160" t="s">
        <v>433</v>
      </c>
      <c r="E93" s="160" t="n">
        <v>602560117</v>
      </c>
      <c r="F93" s="161" t="n">
        <v>58</v>
      </c>
      <c r="G93" s="161" t="n">
        <v>439</v>
      </c>
      <c r="J93" s="156" t="n">
        <v>1350.94386955158</v>
      </c>
    </row>
    <row r="94" customFormat="false" ht="13.5" hidden="false" customHeight="false" outlineLevel="0" collapsed="false">
      <c r="A94" s="160" t="s">
        <v>238</v>
      </c>
      <c r="B94" s="160" t="s">
        <v>239</v>
      </c>
      <c r="C94" s="160" t="s">
        <v>441</v>
      </c>
      <c r="D94" s="160" t="s">
        <v>433</v>
      </c>
      <c r="E94" s="160" t="n">
        <v>605059168</v>
      </c>
      <c r="F94" s="161" t="n">
        <v>1</v>
      </c>
      <c r="G94" s="161" t="n">
        <v>0</v>
      </c>
      <c r="J94" s="156" t="n">
        <v>1350.94386955158</v>
      </c>
    </row>
    <row r="95" customFormat="false" ht="13.5" hidden="false" customHeight="false" outlineLevel="0" collapsed="false">
      <c r="A95" s="160" t="s">
        <v>238</v>
      </c>
      <c r="B95" s="160" t="s">
        <v>239</v>
      </c>
      <c r="C95" s="160" t="s">
        <v>432</v>
      </c>
      <c r="D95" s="160" t="s">
        <v>433</v>
      </c>
      <c r="E95" s="160" t="n">
        <v>602560056</v>
      </c>
      <c r="F95" s="161" t="n">
        <v>414</v>
      </c>
      <c r="G95" s="161" t="n">
        <v>274</v>
      </c>
      <c r="J95" s="156" t="n">
        <v>1350.94386955158</v>
      </c>
    </row>
    <row r="96" customFormat="false" ht="13.5" hidden="false" customHeight="false" outlineLevel="0" collapsed="false">
      <c r="A96" s="160" t="s">
        <v>238</v>
      </c>
      <c r="B96" s="160" t="s">
        <v>239</v>
      </c>
      <c r="C96" s="160" t="s">
        <v>435</v>
      </c>
      <c r="D96" s="160" t="s">
        <v>433</v>
      </c>
      <c r="E96" s="160" t="n">
        <v>605059120</v>
      </c>
      <c r="F96" s="161" t="n">
        <v>0</v>
      </c>
      <c r="G96" s="161" t="n">
        <v>0</v>
      </c>
      <c r="J96" s="156" t="n">
        <v>1350.94386955158</v>
      </c>
    </row>
    <row r="97" customFormat="false" ht="13.5" hidden="false" customHeight="false" outlineLevel="0" collapsed="false">
      <c r="A97" s="160" t="s">
        <v>238</v>
      </c>
      <c r="B97" s="160" t="s">
        <v>239</v>
      </c>
      <c r="C97" s="160" t="s">
        <v>432</v>
      </c>
      <c r="D97" s="160" t="s">
        <v>433</v>
      </c>
      <c r="E97" s="160" t="n">
        <v>602560070</v>
      </c>
      <c r="F97" s="161" t="n">
        <v>129</v>
      </c>
      <c r="G97" s="161" t="n">
        <v>88</v>
      </c>
      <c r="J97" s="156" t="n">
        <v>1350.94386955158</v>
      </c>
    </row>
    <row r="98" customFormat="false" ht="13.5" hidden="false" customHeight="false" outlineLevel="0" collapsed="false">
      <c r="A98" s="160" t="s">
        <v>238</v>
      </c>
      <c r="B98" s="160" t="s">
        <v>239</v>
      </c>
      <c r="C98" s="160" t="s">
        <v>435</v>
      </c>
      <c r="D98" s="160" t="s">
        <v>436</v>
      </c>
      <c r="E98" s="160" t="n">
        <v>16128907</v>
      </c>
      <c r="F98" s="161" t="n">
        <v>27.083</v>
      </c>
      <c r="G98" s="161" t="n">
        <v>21.684</v>
      </c>
      <c r="H98" s="155" t="n">
        <v>60.835</v>
      </c>
      <c r="J98" s="156"/>
    </row>
    <row r="99" customFormat="false" ht="13.5" hidden="false" customHeight="false" outlineLevel="0" collapsed="false">
      <c r="A99" s="160" t="s">
        <v>238</v>
      </c>
      <c r="B99" s="160" t="s">
        <v>239</v>
      </c>
      <c r="C99" s="160" t="s">
        <v>439</v>
      </c>
      <c r="D99" s="160" t="s">
        <v>436</v>
      </c>
      <c r="E99" s="160" t="n">
        <v>15991117</v>
      </c>
      <c r="F99" s="161" t="n">
        <v>95.291</v>
      </c>
      <c r="G99" s="161" t="n">
        <v>78.677</v>
      </c>
      <c r="H99" s="155" t="n">
        <v>60.835</v>
      </c>
      <c r="J99" s="156"/>
    </row>
    <row r="100" customFormat="false" ht="13.5" hidden="false" customHeight="false" outlineLevel="0" collapsed="false">
      <c r="A100" s="160" t="s">
        <v>238</v>
      </c>
      <c r="B100" s="160" t="s">
        <v>239</v>
      </c>
      <c r="C100" s="160" t="s">
        <v>435</v>
      </c>
      <c r="D100" s="160" t="s">
        <v>145</v>
      </c>
      <c r="E100" s="160" t="n">
        <v>15997753</v>
      </c>
      <c r="F100" s="161" t="n">
        <v>43.168</v>
      </c>
      <c r="G100" s="161" t="n">
        <v>30.96</v>
      </c>
      <c r="I100" s="155" t="n">
        <v>20.2766666666667</v>
      </c>
      <c r="J100" s="156"/>
    </row>
    <row r="101" customFormat="false" ht="13.5" hidden="false" customHeight="false" outlineLevel="0" collapsed="false">
      <c r="A101" s="160" t="s">
        <v>238</v>
      </c>
      <c r="B101" s="160" t="s">
        <v>239</v>
      </c>
      <c r="C101" s="160" t="s">
        <v>439</v>
      </c>
      <c r="D101" s="160" t="s">
        <v>145</v>
      </c>
      <c r="E101" s="160" t="n">
        <v>15997739</v>
      </c>
      <c r="F101" s="161" t="n">
        <v>31.533</v>
      </c>
      <c r="G101" s="161" t="n">
        <v>26.636</v>
      </c>
      <c r="I101" s="155" t="n">
        <v>20.2766666666667</v>
      </c>
      <c r="J101" s="156"/>
    </row>
    <row r="102" customFormat="false" ht="13.5" hidden="false" customHeight="false" outlineLevel="0" collapsed="false">
      <c r="A102" s="160" t="s">
        <v>241</v>
      </c>
      <c r="B102" s="160" t="s">
        <v>242</v>
      </c>
      <c r="C102" s="160" t="s">
        <v>435</v>
      </c>
      <c r="D102" s="160" t="s">
        <v>433</v>
      </c>
      <c r="E102" s="160" t="n">
        <v>607268377</v>
      </c>
      <c r="F102" s="161" t="n">
        <v>38</v>
      </c>
      <c r="G102" s="161" t="n">
        <v>38</v>
      </c>
      <c r="J102" s="156" t="n">
        <v>1350.94386955158</v>
      </c>
    </row>
    <row r="103" customFormat="false" ht="13.5" hidden="false" customHeight="false" outlineLevel="0" collapsed="false">
      <c r="A103" s="160" t="s">
        <v>241</v>
      </c>
      <c r="B103" s="160" t="s">
        <v>242</v>
      </c>
      <c r="C103" s="160" t="s">
        <v>434</v>
      </c>
      <c r="D103" s="160" t="s">
        <v>433</v>
      </c>
      <c r="E103" s="160" t="n">
        <v>607268520</v>
      </c>
      <c r="F103" s="161" t="n">
        <v>674</v>
      </c>
      <c r="G103" s="161" t="n">
        <v>366</v>
      </c>
      <c r="J103" s="156" t="n">
        <v>1350.94386955158</v>
      </c>
    </row>
    <row r="104" customFormat="false" ht="13.5" hidden="false" customHeight="false" outlineLevel="0" collapsed="false">
      <c r="A104" s="160" t="s">
        <v>241</v>
      </c>
      <c r="B104" s="160" t="s">
        <v>242</v>
      </c>
      <c r="C104" s="160" t="s">
        <v>432</v>
      </c>
      <c r="D104" s="160" t="s">
        <v>433</v>
      </c>
      <c r="E104" s="160" t="n">
        <v>607268735</v>
      </c>
      <c r="F104" s="161" t="n">
        <v>882</v>
      </c>
      <c r="G104" s="161" t="n">
        <v>715</v>
      </c>
      <c r="J104" s="156" t="n">
        <v>1350.94386955158</v>
      </c>
    </row>
    <row r="105" customFormat="false" ht="13.5" hidden="false" customHeight="false" outlineLevel="0" collapsed="false">
      <c r="A105" s="160" t="s">
        <v>241</v>
      </c>
      <c r="B105" s="160" t="s">
        <v>242</v>
      </c>
      <c r="C105" s="160" t="s">
        <v>441</v>
      </c>
      <c r="D105" s="160" t="s">
        <v>433</v>
      </c>
      <c r="E105" s="160" t="n">
        <v>607269015</v>
      </c>
      <c r="F105" s="161" t="n">
        <v>1094</v>
      </c>
      <c r="G105" s="161" t="n">
        <v>454</v>
      </c>
      <c r="J105" s="156" t="n">
        <v>1350.94386955158</v>
      </c>
    </row>
    <row r="106" customFormat="false" ht="13.5" hidden="false" customHeight="false" outlineLevel="0" collapsed="false">
      <c r="A106" s="160" t="s">
        <v>241</v>
      </c>
      <c r="B106" s="160" t="s">
        <v>242</v>
      </c>
      <c r="C106" s="160" t="s">
        <v>432</v>
      </c>
      <c r="D106" s="160" t="s">
        <v>433</v>
      </c>
      <c r="E106" s="160" t="n">
        <v>607268933</v>
      </c>
      <c r="F106" s="161" t="n">
        <v>1054</v>
      </c>
      <c r="G106" s="161" t="n">
        <v>827</v>
      </c>
      <c r="J106" s="156" t="n">
        <v>1350.94386955158</v>
      </c>
    </row>
    <row r="107" customFormat="false" ht="13.5" hidden="false" customHeight="false" outlineLevel="0" collapsed="false">
      <c r="A107" s="160" t="s">
        <v>241</v>
      </c>
      <c r="B107" s="160" t="s">
        <v>242</v>
      </c>
      <c r="C107" s="160" t="s">
        <v>435</v>
      </c>
      <c r="D107" s="160" t="s">
        <v>145</v>
      </c>
      <c r="E107" s="160" t="n">
        <v>15990197</v>
      </c>
      <c r="F107" s="161" t="n">
        <v>147.421</v>
      </c>
      <c r="G107" s="161" t="n">
        <v>118.414</v>
      </c>
      <c r="I107" s="155" t="n">
        <v>20.2766666666667</v>
      </c>
      <c r="J107" s="156"/>
    </row>
    <row r="108" customFormat="false" ht="13.5" hidden="false" customHeight="false" outlineLevel="0" collapsed="false">
      <c r="A108" s="160" t="s">
        <v>241</v>
      </c>
      <c r="B108" s="160" t="s">
        <v>242</v>
      </c>
      <c r="C108" s="160" t="s">
        <v>439</v>
      </c>
      <c r="D108" s="160" t="s">
        <v>145</v>
      </c>
      <c r="E108" s="160" t="n">
        <v>15990626</v>
      </c>
      <c r="F108" s="161" t="n">
        <v>103.067</v>
      </c>
      <c r="G108" s="161" t="n">
        <v>82.189</v>
      </c>
      <c r="I108" s="155" t="n">
        <v>20.2766666666667</v>
      </c>
      <c r="J108" s="156"/>
    </row>
    <row r="109" customFormat="false" ht="13.5" hidden="false" customHeight="false" outlineLevel="0" collapsed="false">
      <c r="A109" s="160" t="s">
        <v>241</v>
      </c>
      <c r="B109" s="160" t="s">
        <v>242</v>
      </c>
      <c r="C109" s="160" t="s">
        <v>435</v>
      </c>
      <c r="D109" s="160" t="s">
        <v>436</v>
      </c>
      <c r="E109" s="160" t="n">
        <v>16160362</v>
      </c>
      <c r="F109" s="161" t="n">
        <v>62.144</v>
      </c>
      <c r="G109" s="161" t="n">
        <v>51.109</v>
      </c>
      <c r="H109" s="155" t="n">
        <v>60.835</v>
      </c>
      <c r="J109" s="156"/>
    </row>
    <row r="110" customFormat="false" ht="13.5" hidden="false" customHeight="false" outlineLevel="0" collapsed="false">
      <c r="A110" s="160" t="s">
        <v>241</v>
      </c>
      <c r="B110" s="160" t="s">
        <v>242</v>
      </c>
      <c r="C110" s="160" t="s">
        <v>439</v>
      </c>
      <c r="D110" s="160" t="s">
        <v>436</v>
      </c>
      <c r="E110" s="160" t="n">
        <v>16129459</v>
      </c>
      <c r="F110" s="161" t="n">
        <v>20.226</v>
      </c>
      <c r="G110" s="161" t="n">
        <v>16.94</v>
      </c>
      <c r="H110" s="155" t="n">
        <v>60.835</v>
      </c>
      <c r="J110" s="156"/>
    </row>
    <row r="111" s="109" customFormat="true" ht="13.5" hidden="false" customHeight="false" outlineLevel="0" collapsed="false">
      <c r="A111" s="160" t="s">
        <v>244</v>
      </c>
      <c r="B111" s="160" t="s">
        <v>336</v>
      </c>
      <c r="C111" s="160" t="s">
        <v>435</v>
      </c>
      <c r="D111" s="160" t="s">
        <v>433</v>
      </c>
      <c r="E111" s="160" t="n">
        <v>607268414</v>
      </c>
      <c r="F111" s="161" t="n">
        <v>4162</v>
      </c>
      <c r="G111" s="161" t="n">
        <v>2666</v>
      </c>
      <c r="H111" s="155"/>
      <c r="I111" s="155"/>
      <c r="J111" s="156" t="n">
        <v>675.471934775792</v>
      </c>
    </row>
    <row r="112" s="109" customFormat="true" ht="13.5" hidden="false" customHeight="false" outlineLevel="0" collapsed="false">
      <c r="A112" s="160" t="s">
        <v>244</v>
      </c>
      <c r="B112" s="160" t="s">
        <v>336</v>
      </c>
      <c r="C112" s="160" t="s">
        <v>432</v>
      </c>
      <c r="D112" s="160" t="s">
        <v>433</v>
      </c>
      <c r="E112" s="160" t="n">
        <v>607268476</v>
      </c>
      <c r="F112" s="161" t="n">
        <v>1915</v>
      </c>
      <c r="G112" s="161" t="n">
        <v>2045</v>
      </c>
      <c r="H112" s="155"/>
      <c r="I112" s="155"/>
      <c r="J112" s="156" t="n">
        <v>675.471934775792</v>
      </c>
    </row>
    <row r="113" s="109" customFormat="true" ht="13.5" hidden="false" customHeight="false" outlineLevel="0" collapsed="false">
      <c r="A113" s="160" t="s">
        <v>244</v>
      </c>
      <c r="B113" s="160" t="s">
        <v>336</v>
      </c>
      <c r="C113" s="160" t="s">
        <v>438</v>
      </c>
      <c r="D113" s="160" t="s">
        <v>433</v>
      </c>
      <c r="E113" s="160" t="n">
        <v>607268490</v>
      </c>
      <c r="F113" s="161" t="n">
        <v>712</v>
      </c>
      <c r="G113" s="161" t="n">
        <v>533</v>
      </c>
      <c r="H113" s="155"/>
      <c r="I113" s="155"/>
      <c r="J113" s="156" t="n">
        <v>675.471934775792</v>
      </c>
    </row>
    <row r="114" s="109" customFormat="true" ht="13.5" hidden="false" customHeight="false" outlineLevel="0" collapsed="false">
      <c r="A114" s="160" t="s">
        <v>244</v>
      </c>
      <c r="B114" s="160" t="s">
        <v>336</v>
      </c>
      <c r="C114" s="160" t="s">
        <v>434</v>
      </c>
      <c r="D114" s="160" t="s">
        <v>433</v>
      </c>
      <c r="E114" s="160" t="n">
        <v>607268513</v>
      </c>
      <c r="F114" s="161" t="n">
        <v>1585</v>
      </c>
      <c r="G114" s="161" t="n">
        <v>2355</v>
      </c>
      <c r="H114" s="155"/>
      <c r="I114" s="155"/>
      <c r="J114" s="156" t="n">
        <v>675.471934775792</v>
      </c>
    </row>
    <row r="115" s="109" customFormat="true" ht="13.5" hidden="false" customHeight="false" outlineLevel="0" collapsed="false">
      <c r="A115" s="160" t="s">
        <v>244</v>
      </c>
      <c r="B115" s="160" t="s">
        <v>336</v>
      </c>
      <c r="C115" s="160" t="s">
        <v>432</v>
      </c>
      <c r="D115" s="160" t="s">
        <v>433</v>
      </c>
      <c r="E115" s="160" t="n">
        <v>607268643</v>
      </c>
      <c r="F115" s="161" t="n">
        <v>2927</v>
      </c>
      <c r="G115" s="161" t="n">
        <v>2621</v>
      </c>
      <c r="H115" s="155"/>
      <c r="I115" s="155"/>
      <c r="J115" s="156" t="n">
        <v>675.471934775792</v>
      </c>
    </row>
    <row r="116" s="109" customFormat="true" ht="13.5" hidden="false" customHeight="false" outlineLevel="0" collapsed="false">
      <c r="A116" s="160" t="s">
        <v>244</v>
      </c>
      <c r="B116" s="160" t="s">
        <v>336</v>
      </c>
      <c r="C116" s="160" t="s">
        <v>435</v>
      </c>
      <c r="D116" s="160" t="s">
        <v>436</v>
      </c>
      <c r="E116" s="160" t="n">
        <v>16075869</v>
      </c>
      <c r="F116" s="161" t="n">
        <v>60.61</v>
      </c>
      <c r="G116" s="161" t="n">
        <v>45.861</v>
      </c>
      <c r="H116" s="155" t="n">
        <v>20.2766666666667</v>
      </c>
      <c r="I116" s="155"/>
      <c r="J116" s="156"/>
    </row>
    <row r="117" s="109" customFormat="true" ht="13.5" hidden="false" customHeight="false" outlineLevel="0" collapsed="false">
      <c r="A117" s="160" t="s">
        <v>244</v>
      </c>
      <c r="B117" s="160" t="s">
        <v>336</v>
      </c>
      <c r="C117" s="160" t="s">
        <v>435</v>
      </c>
      <c r="D117" s="160" t="s">
        <v>436</v>
      </c>
      <c r="E117" s="160" t="n">
        <v>16201333</v>
      </c>
      <c r="F117" s="161" t="n">
        <v>92.471</v>
      </c>
      <c r="G117" s="161" t="n">
        <v>65.241</v>
      </c>
      <c r="H117" s="155" t="n">
        <v>20.2766666666667</v>
      </c>
      <c r="I117" s="155"/>
      <c r="J117" s="156"/>
    </row>
    <row r="118" s="109" customFormat="true" ht="13.5" hidden="false" customHeight="false" outlineLevel="0" collapsed="false">
      <c r="A118" s="160" t="s">
        <v>244</v>
      </c>
      <c r="B118" s="160" t="s">
        <v>336</v>
      </c>
      <c r="C118" s="160" t="s">
        <v>415</v>
      </c>
      <c r="D118" s="160" t="s">
        <v>436</v>
      </c>
      <c r="E118" s="160" t="n">
        <v>16201335</v>
      </c>
      <c r="F118" s="161" t="n">
        <v>42.988</v>
      </c>
      <c r="G118" s="161" t="n">
        <v>28.941</v>
      </c>
      <c r="H118" s="155" t="n">
        <v>20.2766666666667</v>
      </c>
      <c r="I118" s="155"/>
      <c r="J118" s="156"/>
    </row>
    <row r="119" s="109" customFormat="true" ht="13.5" hidden="false" customHeight="false" outlineLevel="0" collapsed="false">
      <c r="A119" s="160" t="s">
        <v>244</v>
      </c>
      <c r="B119" s="160" t="s">
        <v>336</v>
      </c>
      <c r="C119" s="160" t="s">
        <v>435</v>
      </c>
      <c r="D119" s="160" t="s">
        <v>145</v>
      </c>
      <c r="E119" s="160" t="n">
        <v>16160970</v>
      </c>
      <c r="F119" s="161" t="n">
        <v>57.151</v>
      </c>
      <c r="G119" s="161" t="n">
        <v>43.114</v>
      </c>
      <c r="H119" s="155"/>
      <c r="I119" s="155" t="n">
        <v>10.14</v>
      </c>
      <c r="J119" s="156"/>
    </row>
    <row r="120" s="109" customFormat="true" ht="13.5" hidden="false" customHeight="false" outlineLevel="0" collapsed="false">
      <c r="A120" s="160" t="s">
        <v>244</v>
      </c>
      <c r="B120" s="160" t="s">
        <v>336</v>
      </c>
      <c r="C120" s="160" t="s">
        <v>435</v>
      </c>
      <c r="D120" s="160" t="s">
        <v>145</v>
      </c>
      <c r="E120" s="160" t="n">
        <v>16160688</v>
      </c>
      <c r="F120" s="161" t="n">
        <v>23.075</v>
      </c>
      <c r="G120" s="161" t="n">
        <v>20.087</v>
      </c>
      <c r="H120" s="155"/>
      <c r="I120" s="155" t="n">
        <v>10.14</v>
      </c>
      <c r="J120" s="156"/>
    </row>
    <row r="121" s="109" customFormat="true" ht="13.5" hidden="false" customHeight="false" outlineLevel="0" collapsed="false">
      <c r="A121" s="160" t="s">
        <v>244</v>
      </c>
      <c r="B121" s="160" t="s">
        <v>336</v>
      </c>
      <c r="C121" s="160" t="s">
        <v>415</v>
      </c>
      <c r="D121" s="160" t="s">
        <v>145</v>
      </c>
      <c r="E121" s="160" t="n">
        <v>16160134</v>
      </c>
      <c r="F121" s="161" t="n">
        <v>20.872</v>
      </c>
      <c r="G121" s="161" t="n">
        <v>14.432</v>
      </c>
      <c r="H121" s="155"/>
      <c r="I121" s="155" t="n">
        <v>10.14</v>
      </c>
      <c r="J121" s="156"/>
    </row>
    <row r="122" customFormat="false" ht="13.5" hidden="false" customHeight="false" outlineLevel="0" collapsed="false">
      <c r="A122" s="160" t="s">
        <v>247</v>
      </c>
      <c r="B122" s="160" t="s">
        <v>248</v>
      </c>
      <c r="C122" s="160" t="s">
        <v>435</v>
      </c>
      <c r="D122" s="160" t="s">
        <v>433</v>
      </c>
      <c r="E122" s="160" t="n">
        <v>607269824</v>
      </c>
      <c r="F122" s="161" t="n">
        <v>866</v>
      </c>
      <c r="G122" s="161" t="n">
        <v>261</v>
      </c>
      <c r="J122" s="156" t="n">
        <v>337.735967387896</v>
      </c>
    </row>
    <row r="123" customFormat="false" ht="13.5" hidden="false" customHeight="false" outlineLevel="0" collapsed="false">
      <c r="A123" s="160" t="s">
        <v>247</v>
      </c>
      <c r="B123" s="160" t="s">
        <v>248</v>
      </c>
      <c r="C123" s="160" t="s">
        <v>439</v>
      </c>
      <c r="D123" s="160" t="s">
        <v>433</v>
      </c>
      <c r="E123" s="160" t="n">
        <v>607269848</v>
      </c>
      <c r="F123" s="161" t="n">
        <v>36</v>
      </c>
      <c r="G123" s="161" t="n">
        <v>2</v>
      </c>
      <c r="J123" s="156" t="n">
        <v>337.735967387896</v>
      </c>
    </row>
    <row r="124" customFormat="false" ht="13.5" hidden="false" customHeight="false" outlineLevel="0" collapsed="false">
      <c r="A124" s="160" t="s">
        <v>247</v>
      </c>
      <c r="B124" s="160" t="s">
        <v>248</v>
      </c>
      <c r="C124" s="160" t="s">
        <v>434</v>
      </c>
      <c r="D124" s="160" t="s">
        <v>433</v>
      </c>
      <c r="E124" s="160" t="n">
        <v>607269039</v>
      </c>
      <c r="F124" s="161" t="n">
        <v>395</v>
      </c>
      <c r="G124" s="161" t="n">
        <v>181</v>
      </c>
      <c r="J124" s="156" t="n">
        <v>337.735967387896</v>
      </c>
    </row>
    <row r="125" customFormat="false" ht="13.5" hidden="false" customHeight="false" outlineLevel="0" collapsed="false">
      <c r="A125" s="160" t="s">
        <v>247</v>
      </c>
      <c r="B125" s="160" t="s">
        <v>248</v>
      </c>
      <c r="C125" s="160" t="s">
        <v>432</v>
      </c>
      <c r="D125" s="160" t="s">
        <v>433</v>
      </c>
      <c r="E125" s="160" t="n">
        <v>607269657</v>
      </c>
      <c r="F125" s="161" t="n">
        <v>1317</v>
      </c>
      <c r="G125" s="161" t="n">
        <v>1247</v>
      </c>
      <c r="J125" s="156" t="n">
        <v>337.735967387896</v>
      </c>
    </row>
    <row r="126" customFormat="false" ht="13.5" hidden="false" customHeight="false" outlineLevel="0" collapsed="false">
      <c r="A126" s="160" t="s">
        <v>247</v>
      </c>
      <c r="B126" s="160" t="s">
        <v>248</v>
      </c>
      <c r="C126" s="160" t="s">
        <v>432</v>
      </c>
      <c r="D126" s="160" t="s">
        <v>433</v>
      </c>
      <c r="E126" s="160" t="n">
        <v>607269862</v>
      </c>
      <c r="F126" s="161" t="n">
        <v>1167</v>
      </c>
      <c r="G126" s="161" t="n">
        <v>721</v>
      </c>
      <c r="J126" s="156" t="n">
        <v>337.735967387896</v>
      </c>
    </row>
    <row r="127" customFormat="false" ht="13.5" hidden="false" customHeight="false" outlineLevel="0" collapsed="false">
      <c r="A127" s="160" t="s">
        <v>247</v>
      </c>
      <c r="B127" s="160" t="s">
        <v>248</v>
      </c>
      <c r="C127" s="160" t="s">
        <v>438</v>
      </c>
      <c r="D127" s="160" t="s">
        <v>433</v>
      </c>
      <c r="E127" s="160" t="n">
        <v>607269831</v>
      </c>
      <c r="F127" s="161" t="n">
        <v>332</v>
      </c>
      <c r="G127" s="161" t="n">
        <v>406</v>
      </c>
      <c r="J127" s="156" t="n">
        <v>337.735967387896</v>
      </c>
    </row>
    <row r="128" customFormat="false" ht="13.5" hidden="false" customHeight="false" outlineLevel="0" collapsed="false">
      <c r="A128" s="160" t="s">
        <v>247</v>
      </c>
      <c r="B128" s="160" t="s">
        <v>248</v>
      </c>
      <c r="C128" s="160" t="s">
        <v>439</v>
      </c>
      <c r="D128" s="160" t="s">
        <v>436</v>
      </c>
      <c r="E128" s="160" t="n">
        <v>16075366</v>
      </c>
      <c r="F128" s="161" t="n">
        <v>172.02</v>
      </c>
      <c r="G128" s="161" t="n">
        <v>144.58</v>
      </c>
      <c r="H128" s="155" t="n">
        <v>15.21</v>
      </c>
      <c r="J128" s="156"/>
    </row>
    <row r="129" customFormat="false" ht="13.5" hidden="false" customHeight="false" outlineLevel="0" collapsed="false">
      <c r="A129" s="160" t="s">
        <v>247</v>
      </c>
      <c r="B129" s="160" t="s">
        <v>248</v>
      </c>
      <c r="C129" s="160" t="s">
        <v>435</v>
      </c>
      <c r="D129" s="160" t="s">
        <v>436</v>
      </c>
      <c r="E129" s="160" t="n">
        <v>16128904</v>
      </c>
      <c r="F129" s="161" t="n">
        <v>116.808</v>
      </c>
      <c r="G129" s="161" t="n">
        <v>93.351</v>
      </c>
      <c r="H129" s="155" t="n">
        <v>15.21</v>
      </c>
      <c r="J129" s="156"/>
    </row>
    <row r="130" customFormat="false" ht="13.5" hidden="false" customHeight="false" outlineLevel="0" collapsed="false">
      <c r="A130" s="160" t="s">
        <v>247</v>
      </c>
      <c r="B130" s="160" t="s">
        <v>248</v>
      </c>
      <c r="C130" s="160" t="s">
        <v>439</v>
      </c>
      <c r="D130" s="160" t="s">
        <v>145</v>
      </c>
      <c r="E130" s="160" t="n">
        <v>15997872</v>
      </c>
      <c r="F130" s="161" t="n">
        <v>74.893</v>
      </c>
      <c r="G130" s="161" t="n">
        <v>62.863</v>
      </c>
      <c r="I130" s="155" t="n">
        <v>5.07</v>
      </c>
      <c r="J130" s="156"/>
    </row>
    <row r="131" customFormat="false" ht="13.5" hidden="false" customHeight="false" outlineLevel="0" collapsed="false">
      <c r="A131" s="160" t="s">
        <v>247</v>
      </c>
      <c r="B131" s="160" t="s">
        <v>248</v>
      </c>
      <c r="C131" s="160" t="s">
        <v>435</v>
      </c>
      <c r="D131" s="160" t="s">
        <v>145</v>
      </c>
      <c r="E131" s="160" t="n">
        <v>15997868</v>
      </c>
      <c r="F131" s="161" t="n">
        <v>25.303</v>
      </c>
      <c r="G131" s="161" t="n">
        <v>20.141</v>
      </c>
      <c r="I131" s="155" t="n">
        <v>5.07</v>
      </c>
      <c r="J131" s="156"/>
    </row>
    <row r="132" customFormat="false" ht="13.5" hidden="false" customHeight="false" outlineLevel="0" collapsed="false">
      <c r="A132" s="160" t="s">
        <v>250</v>
      </c>
      <c r="B132" s="160" t="s">
        <v>251</v>
      </c>
      <c r="C132" s="160" t="s">
        <v>434</v>
      </c>
      <c r="D132" s="160" t="s">
        <v>433</v>
      </c>
      <c r="E132" s="160" t="n">
        <v>611095266</v>
      </c>
      <c r="F132" s="161" t="n">
        <v>195</v>
      </c>
      <c r="G132" s="161" t="n">
        <v>389</v>
      </c>
      <c r="J132" s="156" t="n">
        <v>1013.20790216369</v>
      </c>
    </row>
    <row r="133" customFormat="false" ht="13.5" hidden="false" customHeight="false" outlineLevel="0" collapsed="false">
      <c r="A133" s="160" t="s">
        <v>250</v>
      </c>
      <c r="B133" s="160" t="s">
        <v>251</v>
      </c>
      <c r="C133" s="160" t="s">
        <v>438</v>
      </c>
      <c r="D133" s="160" t="s">
        <v>433</v>
      </c>
      <c r="E133" s="160" t="n">
        <v>611095280</v>
      </c>
      <c r="F133" s="161" t="n">
        <v>1130</v>
      </c>
      <c r="G133" s="161" t="n">
        <v>401</v>
      </c>
      <c r="J133" s="156" t="n">
        <v>1013.20790216369</v>
      </c>
    </row>
    <row r="134" customFormat="false" ht="13.5" hidden="false" customHeight="false" outlineLevel="0" collapsed="false">
      <c r="A134" s="160" t="s">
        <v>250</v>
      </c>
      <c r="B134" s="160" t="s">
        <v>251</v>
      </c>
      <c r="C134" s="160" t="s">
        <v>432</v>
      </c>
      <c r="D134" s="160" t="s">
        <v>433</v>
      </c>
      <c r="E134" s="160" t="n">
        <v>611095556</v>
      </c>
      <c r="F134" s="161" t="n">
        <v>998</v>
      </c>
      <c r="G134" s="161" t="n">
        <v>560</v>
      </c>
      <c r="J134" s="156" t="n">
        <v>1013.20790216369</v>
      </c>
    </row>
    <row r="135" customFormat="false" ht="13.5" hidden="false" customHeight="false" outlineLevel="0" collapsed="false">
      <c r="A135" s="160" t="s">
        <v>250</v>
      </c>
      <c r="B135" s="160" t="s">
        <v>251</v>
      </c>
      <c r="C135" s="160" t="s">
        <v>432</v>
      </c>
      <c r="D135" s="160" t="s">
        <v>433</v>
      </c>
      <c r="E135" s="160" t="n">
        <v>611095594</v>
      </c>
      <c r="F135" s="161" t="n">
        <v>1347</v>
      </c>
      <c r="G135" s="161" t="n">
        <v>736</v>
      </c>
      <c r="J135" s="156" t="n">
        <v>1013.20790216369</v>
      </c>
    </row>
    <row r="136" customFormat="false" ht="13.5" hidden="false" customHeight="false" outlineLevel="0" collapsed="false">
      <c r="A136" s="160" t="s">
        <v>250</v>
      </c>
      <c r="B136" s="160" t="s">
        <v>251</v>
      </c>
      <c r="C136" s="160" t="s">
        <v>435</v>
      </c>
      <c r="D136" s="160" t="s">
        <v>433</v>
      </c>
      <c r="E136" s="160" t="n">
        <v>611095440</v>
      </c>
      <c r="F136" s="161" t="n">
        <v>8</v>
      </c>
      <c r="G136" s="161" t="n">
        <v>39</v>
      </c>
      <c r="J136" s="156" t="n">
        <v>1013.20790216369</v>
      </c>
    </row>
    <row r="137" customFormat="false" ht="13.5" hidden="false" customHeight="false" outlineLevel="0" collapsed="false">
      <c r="A137" s="160" t="s">
        <v>250</v>
      </c>
      <c r="B137" s="160" t="s">
        <v>251</v>
      </c>
      <c r="C137" s="160" t="s">
        <v>435</v>
      </c>
      <c r="D137" s="160" t="s">
        <v>436</v>
      </c>
      <c r="E137" s="160" t="n">
        <v>16128920</v>
      </c>
      <c r="F137" s="161" t="n">
        <v>217.412</v>
      </c>
      <c r="G137" s="161" t="n">
        <v>172.008</v>
      </c>
      <c r="H137" s="155" t="n">
        <v>45.625</v>
      </c>
      <c r="J137" s="156"/>
    </row>
    <row r="138" customFormat="false" ht="13.5" hidden="false" customHeight="false" outlineLevel="0" collapsed="false">
      <c r="A138" s="160" t="s">
        <v>250</v>
      </c>
      <c r="B138" s="160" t="s">
        <v>251</v>
      </c>
      <c r="C138" s="160" t="s">
        <v>439</v>
      </c>
      <c r="D138" s="160" t="s">
        <v>436</v>
      </c>
      <c r="E138" s="160" t="n">
        <v>16075361</v>
      </c>
      <c r="F138" s="161" t="n">
        <v>87.442</v>
      </c>
      <c r="G138" s="161" t="n">
        <v>75.945</v>
      </c>
      <c r="H138" s="155" t="e">
        <f aca="false">#ERR509!</f>
        <v>#VALUE!</v>
      </c>
      <c r="J138" s="156"/>
    </row>
    <row r="139" customFormat="false" ht="13.5" hidden="false" customHeight="false" outlineLevel="0" collapsed="false">
      <c r="A139" s="160" t="s">
        <v>250</v>
      </c>
      <c r="B139" s="160" t="s">
        <v>251</v>
      </c>
      <c r="C139" s="160" t="s">
        <v>435</v>
      </c>
      <c r="D139" s="160" t="s">
        <v>145</v>
      </c>
      <c r="E139" s="160" t="n">
        <v>15997901</v>
      </c>
      <c r="F139" s="161" t="n">
        <v>109.1</v>
      </c>
      <c r="G139" s="161" t="n">
        <v>87.185</v>
      </c>
      <c r="I139" s="155" t="n">
        <v>15.21</v>
      </c>
      <c r="J139" s="156"/>
    </row>
    <row r="140" customFormat="false" ht="13.5" hidden="false" customHeight="false" outlineLevel="0" collapsed="false">
      <c r="A140" s="160" t="s">
        <v>250</v>
      </c>
      <c r="B140" s="160" t="s">
        <v>251</v>
      </c>
      <c r="C140" s="160" t="s">
        <v>439</v>
      </c>
      <c r="D140" s="160" t="s">
        <v>145</v>
      </c>
      <c r="E140" s="160" t="n">
        <v>15998293</v>
      </c>
      <c r="F140" s="161" t="n">
        <v>31.84</v>
      </c>
      <c r="G140" s="161" t="n">
        <v>27.837</v>
      </c>
      <c r="I140" s="155" t="n">
        <v>15.21</v>
      </c>
      <c r="J140" s="156"/>
    </row>
    <row r="141" customFormat="false" ht="13.5" hidden="false" customHeight="false" outlineLevel="0" collapsed="false">
      <c r="A141" s="160" t="s">
        <v>253</v>
      </c>
      <c r="B141" s="160" t="s">
        <v>254</v>
      </c>
      <c r="C141" s="160" t="s">
        <v>432</v>
      </c>
      <c r="D141" s="160" t="s">
        <v>433</v>
      </c>
      <c r="E141" s="160" t="n">
        <v>620009421</v>
      </c>
      <c r="F141" s="161" t="n">
        <v>733</v>
      </c>
      <c r="G141" s="161" t="n">
        <v>1020</v>
      </c>
      <c r="J141" s="156" t="n">
        <v>2026.41580432738</v>
      </c>
    </row>
    <row r="142" customFormat="false" ht="13.5" hidden="false" customHeight="false" outlineLevel="0" collapsed="false">
      <c r="A142" s="160" t="s">
        <v>253</v>
      </c>
      <c r="B142" s="160" t="s">
        <v>254</v>
      </c>
      <c r="C142" s="160" t="s">
        <v>432</v>
      </c>
      <c r="D142" s="160" t="s">
        <v>433</v>
      </c>
      <c r="E142" s="160" t="n">
        <v>620009162</v>
      </c>
      <c r="F142" s="161" t="n">
        <v>1155</v>
      </c>
      <c r="G142" s="161" t="n">
        <v>1396</v>
      </c>
      <c r="J142" s="156" t="n">
        <v>2026.41580432738</v>
      </c>
    </row>
    <row r="143" customFormat="false" ht="13.5" hidden="false" customHeight="false" outlineLevel="0" collapsed="false">
      <c r="A143" s="160" t="s">
        <v>253</v>
      </c>
      <c r="B143" s="160" t="s">
        <v>254</v>
      </c>
      <c r="C143" s="160" t="s">
        <v>438</v>
      </c>
      <c r="D143" s="160" t="s">
        <v>433</v>
      </c>
      <c r="E143" s="160" t="n">
        <v>620007168</v>
      </c>
      <c r="F143" s="161" t="n">
        <v>561</v>
      </c>
      <c r="G143" s="161" t="n">
        <v>994</v>
      </c>
      <c r="J143" s="156" t="n">
        <v>2026.41580432738</v>
      </c>
    </row>
    <row r="144" customFormat="false" ht="13.5" hidden="false" customHeight="false" outlineLevel="0" collapsed="false">
      <c r="A144" s="160" t="s">
        <v>253</v>
      </c>
      <c r="B144" s="160" t="s">
        <v>254</v>
      </c>
      <c r="C144" s="160" t="s">
        <v>441</v>
      </c>
      <c r="D144" s="160" t="s">
        <v>433</v>
      </c>
      <c r="E144" s="160" t="n">
        <v>620007755</v>
      </c>
      <c r="F144" s="161" t="n">
        <v>450</v>
      </c>
      <c r="G144" s="161" t="n">
        <v>852</v>
      </c>
      <c r="J144" s="156" t="n">
        <v>2026.41580432738</v>
      </c>
    </row>
    <row r="145" customFormat="false" ht="13.5" hidden="false" customHeight="false" outlineLevel="0" collapsed="false">
      <c r="A145" s="160" t="s">
        <v>253</v>
      </c>
      <c r="B145" s="160" t="s">
        <v>254</v>
      </c>
      <c r="C145" s="160" t="s">
        <v>441</v>
      </c>
      <c r="D145" s="160" t="s">
        <v>433</v>
      </c>
      <c r="E145" s="160" t="n">
        <v>620009490</v>
      </c>
      <c r="F145" s="161" t="n">
        <v>453</v>
      </c>
      <c r="G145" s="161" t="n">
        <v>214</v>
      </c>
      <c r="J145" s="156" t="n">
        <v>2026.41580432738</v>
      </c>
    </row>
    <row r="146" customFormat="false" ht="13.5" hidden="false" customHeight="false" outlineLevel="0" collapsed="false">
      <c r="A146" s="160" t="s">
        <v>253</v>
      </c>
      <c r="B146" s="160" t="s">
        <v>254</v>
      </c>
      <c r="C146" s="160" t="s">
        <v>439</v>
      </c>
      <c r="D146" s="160" t="s">
        <v>433</v>
      </c>
      <c r="E146" s="160" t="n">
        <v>620007632</v>
      </c>
      <c r="F146" s="161" t="n">
        <v>15</v>
      </c>
      <c r="G146" s="161" t="n">
        <v>1</v>
      </c>
      <c r="J146" s="156" t="n">
        <v>2026.41580432738</v>
      </c>
    </row>
    <row r="147" customFormat="false" ht="13.5" hidden="false" customHeight="false" outlineLevel="0" collapsed="false">
      <c r="A147" s="160" t="s">
        <v>253</v>
      </c>
      <c r="B147" s="160" t="s">
        <v>254</v>
      </c>
      <c r="C147" s="160" t="s">
        <v>434</v>
      </c>
      <c r="D147" s="160" t="s">
        <v>433</v>
      </c>
      <c r="E147" s="160" t="n">
        <v>620007762</v>
      </c>
      <c r="F147" s="161" t="n">
        <v>346</v>
      </c>
      <c r="G147" s="161" t="n">
        <v>237</v>
      </c>
      <c r="J147" s="156" t="n">
        <v>2026.41580432738</v>
      </c>
    </row>
    <row r="148" customFormat="false" ht="13.5" hidden="false" customHeight="false" outlineLevel="0" collapsed="false">
      <c r="A148" s="160" t="s">
        <v>253</v>
      </c>
      <c r="B148" s="160" t="s">
        <v>254</v>
      </c>
      <c r="C148" s="160" t="s">
        <v>435</v>
      </c>
      <c r="D148" s="160" t="s">
        <v>433</v>
      </c>
      <c r="E148" s="160" t="n">
        <v>620007182</v>
      </c>
      <c r="F148" s="161" t="n">
        <v>726</v>
      </c>
      <c r="G148" s="161" t="n">
        <v>1271</v>
      </c>
      <c r="J148" s="156" t="n">
        <v>2026.41580432738</v>
      </c>
    </row>
    <row r="149" customFormat="false" ht="13.5" hidden="false" customHeight="false" outlineLevel="0" collapsed="false">
      <c r="A149" s="160" t="s">
        <v>253</v>
      </c>
      <c r="B149" s="160" t="s">
        <v>254</v>
      </c>
      <c r="C149" s="160" t="s">
        <v>444</v>
      </c>
      <c r="D149" s="160" t="s">
        <v>433</v>
      </c>
      <c r="E149" s="160" t="n">
        <v>620007380</v>
      </c>
      <c r="F149" s="161" t="n">
        <v>471</v>
      </c>
      <c r="G149" s="161" t="n">
        <v>495</v>
      </c>
      <c r="J149" s="156" t="n">
        <v>2026.41580432738</v>
      </c>
    </row>
    <row r="150" customFormat="false" ht="13.5" hidden="false" customHeight="false" outlineLevel="0" collapsed="false">
      <c r="A150" s="160" t="s">
        <v>253</v>
      </c>
      <c r="B150" s="160" t="s">
        <v>254</v>
      </c>
      <c r="C150" s="160" t="s">
        <v>432</v>
      </c>
      <c r="D150" s="160" t="s">
        <v>433</v>
      </c>
      <c r="E150" s="160" t="n">
        <v>620009513</v>
      </c>
      <c r="F150" s="161" t="n">
        <v>691</v>
      </c>
      <c r="G150" s="161" t="n">
        <v>1118</v>
      </c>
      <c r="J150" s="156" t="n">
        <v>2026.41580432738</v>
      </c>
    </row>
    <row r="151" customFormat="false" ht="13.5" hidden="false" customHeight="false" outlineLevel="0" collapsed="false">
      <c r="A151" s="160" t="s">
        <v>253</v>
      </c>
      <c r="B151" s="160" t="s">
        <v>254</v>
      </c>
      <c r="C151" s="160" t="s">
        <v>439</v>
      </c>
      <c r="D151" s="160" t="s">
        <v>436</v>
      </c>
      <c r="E151" s="160" t="n">
        <v>16201322</v>
      </c>
      <c r="F151" s="161" t="n">
        <v>118.397</v>
      </c>
      <c r="G151" s="161" t="n">
        <v>108.388</v>
      </c>
      <c r="H151" s="155" t="n">
        <v>91.25</v>
      </c>
      <c r="J151" s="156"/>
    </row>
    <row r="152" customFormat="false" ht="13.5" hidden="false" customHeight="false" outlineLevel="0" collapsed="false">
      <c r="A152" s="160" t="s">
        <v>253</v>
      </c>
      <c r="B152" s="160" t="s">
        <v>254</v>
      </c>
      <c r="C152" s="160" t="s">
        <v>435</v>
      </c>
      <c r="D152" s="160" t="s">
        <v>436</v>
      </c>
      <c r="E152" s="160" t="n">
        <v>16201325</v>
      </c>
      <c r="F152" s="161" t="n">
        <v>187.721</v>
      </c>
      <c r="G152" s="161" t="n">
        <v>163.14</v>
      </c>
      <c r="H152" s="155" t="n">
        <v>91.25</v>
      </c>
      <c r="J152" s="156"/>
    </row>
    <row r="153" customFormat="false" ht="13.5" hidden="false" customHeight="false" outlineLevel="0" collapsed="false">
      <c r="A153" s="160" t="s">
        <v>253</v>
      </c>
      <c r="B153" s="160" t="s">
        <v>254</v>
      </c>
      <c r="C153" s="160" t="s">
        <v>439</v>
      </c>
      <c r="D153" s="160" t="s">
        <v>145</v>
      </c>
      <c r="E153" s="160" t="n">
        <v>16160291</v>
      </c>
      <c r="F153" s="161" t="n">
        <v>41.694</v>
      </c>
      <c r="G153" s="161" t="n">
        <v>37.686</v>
      </c>
      <c r="I153" s="155" t="n">
        <v>30.4166666666667</v>
      </c>
      <c r="J153" s="156"/>
    </row>
    <row r="154" customFormat="false" ht="13.5" hidden="false" customHeight="false" outlineLevel="0" collapsed="false">
      <c r="A154" s="160" t="s">
        <v>253</v>
      </c>
      <c r="B154" s="160" t="s">
        <v>254</v>
      </c>
      <c r="C154" s="160" t="s">
        <v>435</v>
      </c>
      <c r="D154" s="160" t="s">
        <v>145</v>
      </c>
      <c r="E154" s="160" t="n">
        <v>16160985</v>
      </c>
      <c r="F154" s="161" t="n">
        <v>118.466</v>
      </c>
      <c r="G154" s="161" t="n">
        <v>104.204</v>
      </c>
      <c r="I154" s="155" t="n">
        <v>30.4166666666667</v>
      </c>
      <c r="J154" s="156"/>
    </row>
    <row r="155" customFormat="false" ht="13.5" hidden="false" customHeight="false" outlineLevel="0" collapsed="false">
      <c r="A155" s="160" t="s">
        <v>257</v>
      </c>
      <c r="B155" s="160" t="s">
        <v>258</v>
      </c>
      <c r="C155" s="160" t="s">
        <v>432</v>
      </c>
      <c r="D155" s="160" t="s">
        <v>433</v>
      </c>
      <c r="E155" s="160" t="n">
        <v>602560223</v>
      </c>
      <c r="F155" s="161" t="n">
        <v>1332</v>
      </c>
      <c r="G155" s="161" t="n">
        <v>1349</v>
      </c>
      <c r="J155" s="156" t="n">
        <v>337.735967387896</v>
      </c>
    </row>
    <row r="156" customFormat="false" ht="13.5" hidden="false" customHeight="false" outlineLevel="0" collapsed="false">
      <c r="A156" s="160" t="s">
        <v>257</v>
      </c>
      <c r="B156" s="160" t="s">
        <v>258</v>
      </c>
      <c r="C156" s="160" t="s">
        <v>432</v>
      </c>
      <c r="D156" s="160" t="s">
        <v>433</v>
      </c>
      <c r="E156" s="160" t="n">
        <v>602560216</v>
      </c>
      <c r="F156" s="161" t="n">
        <v>1169</v>
      </c>
      <c r="G156" s="161" t="n">
        <v>827</v>
      </c>
      <c r="J156" s="156" t="n">
        <v>337.735967387896</v>
      </c>
    </row>
    <row r="157" customFormat="false" ht="13.5" hidden="false" customHeight="false" outlineLevel="0" collapsed="false">
      <c r="A157" s="160" t="s">
        <v>257</v>
      </c>
      <c r="B157" s="160" t="s">
        <v>258</v>
      </c>
      <c r="C157" s="160" t="s">
        <v>432</v>
      </c>
      <c r="D157" s="160" t="s">
        <v>433</v>
      </c>
      <c r="E157" s="160" t="n">
        <v>602560308</v>
      </c>
      <c r="F157" s="161" t="n">
        <v>715</v>
      </c>
      <c r="G157" s="161" t="n">
        <v>526</v>
      </c>
      <c r="J157" s="156" t="n">
        <v>337.735967387896</v>
      </c>
    </row>
    <row r="158" customFormat="false" ht="13.5" hidden="false" customHeight="false" outlineLevel="0" collapsed="false">
      <c r="A158" s="160" t="s">
        <v>257</v>
      </c>
      <c r="B158" s="160" t="s">
        <v>258</v>
      </c>
      <c r="C158" s="160" t="s">
        <v>435</v>
      </c>
      <c r="D158" s="160" t="s">
        <v>433</v>
      </c>
      <c r="E158" s="160" t="n">
        <v>602560285</v>
      </c>
      <c r="F158" s="161" t="n">
        <v>725</v>
      </c>
      <c r="G158" s="161" t="n">
        <v>636</v>
      </c>
      <c r="J158" s="156" t="n">
        <v>337.735967387896</v>
      </c>
    </row>
    <row r="159" customFormat="false" ht="13.5" hidden="false" customHeight="false" outlineLevel="0" collapsed="false">
      <c r="A159" s="160" t="s">
        <v>257</v>
      </c>
      <c r="B159" s="160" t="s">
        <v>258</v>
      </c>
      <c r="C159" s="160" t="s">
        <v>434</v>
      </c>
      <c r="D159" s="160" t="s">
        <v>433</v>
      </c>
      <c r="E159" s="160" t="n">
        <v>602560179</v>
      </c>
      <c r="F159" s="161" t="n">
        <v>928</v>
      </c>
      <c r="G159" s="161" t="n">
        <v>717</v>
      </c>
      <c r="J159" s="156" t="n">
        <v>337.735967387896</v>
      </c>
    </row>
    <row r="160" customFormat="false" ht="13.5" hidden="false" customHeight="false" outlineLevel="0" collapsed="false">
      <c r="A160" s="160" t="s">
        <v>257</v>
      </c>
      <c r="B160" s="160" t="s">
        <v>258</v>
      </c>
      <c r="C160" s="160" t="s">
        <v>435</v>
      </c>
      <c r="D160" s="160" t="s">
        <v>436</v>
      </c>
      <c r="E160" s="160" t="n">
        <v>16676368</v>
      </c>
      <c r="F160" s="161" t="n">
        <v>90.67</v>
      </c>
      <c r="G160" s="161" t="n">
        <v>75.87</v>
      </c>
      <c r="H160" s="155" t="n">
        <v>30.42</v>
      </c>
      <c r="J160" s="156"/>
    </row>
    <row r="161" customFormat="false" ht="13.5" hidden="false" customHeight="false" outlineLevel="0" collapsed="false">
      <c r="A161" s="160" t="s">
        <v>257</v>
      </c>
      <c r="B161" s="160" t="s">
        <v>258</v>
      </c>
      <c r="C161" s="160" t="s">
        <v>435</v>
      </c>
      <c r="D161" s="160" t="s">
        <v>145</v>
      </c>
      <c r="E161" s="160" t="n">
        <v>15997903</v>
      </c>
      <c r="F161" s="161" t="n">
        <v>27.25</v>
      </c>
      <c r="G161" s="161" t="n">
        <v>22.85</v>
      </c>
      <c r="I161" s="155" t="n">
        <v>5.07</v>
      </c>
      <c r="J161" s="156"/>
    </row>
    <row r="162" customFormat="false" ht="13.5" hidden="false" customHeight="false" outlineLevel="0" collapsed="false">
      <c r="A162" s="160" t="s">
        <v>260</v>
      </c>
      <c r="B162" s="160" t="s">
        <v>261</v>
      </c>
      <c r="C162" s="160" t="s">
        <v>432</v>
      </c>
      <c r="D162" s="160" t="s">
        <v>433</v>
      </c>
      <c r="E162" s="160" t="n">
        <v>602560421</v>
      </c>
      <c r="F162" s="161" t="n">
        <v>1519</v>
      </c>
      <c r="G162" s="161" t="n">
        <v>858</v>
      </c>
      <c r="J162" s="156" t="n">
        <v>1688.67983693948</v>
      </c>
    </row>
    <row r="163" s="162" customFormat="true" ht="13.5" hidden="false" customHeight="false" outlineLevel="0" collapsed="false">
      <c r="A163" s="160" t="s">
        <v>260</v>
      </c>
      <c r="B163" s="160" t="s">
        <v>261</v>
      </c>
      <c r="C163" s="160" t="s">
        <v>434</v>
      </c>
      <c r="D163" s="160" t="s">
        <v>433</v>
      </c>
      <c r="E163" s="160" t="n">
        <v>602560407</v>
      </c>
      <c r="F163" s="161" t="n">
        <v>1469</v>
      </c>
      <c r="G163" s="161" t="n">
        <v>1607</v>
      </c>
      <c r="H163" s="155"/>
      <c r="I163" s="155"/>
      <c r="J163" s="156" t="n">
        <v>1688.67983693948</v>
      </c>
    </row>
    <row r="164" customFormat="false" ht="13.5" hidden="false" customHeight="false" outlineLevel="0" collapsed="false">
      <c r="A164" s="160" t="s">
        <v>260</v>
      </c>
      <c r="B164" s="160" t="s">
        <v>261</v>
      </c>
      <c r="C164" s="160" t="s">
        <v>415</v>
      </c>
      <c r="D164" s="160" t="s">
        <v>433</v>
      </c>
      <c r="E164" s="160" t="n">
        <v>602560384</v>
      </c>
      <c r="F164" s="161" t="n">
        <v>2000</v>
      </c>
      <c r="G164" s="161" t="n">
        <v>1873</v>
      </c>
      <c r="J164" s="156" t="n">
        <v>1688.67983693948</v>
      </c>
    </row>
    <row r="165" s="162" customFormat="true" ht="13.5" hidden="false" customHeight="false" outlineLevel="0" collapsed="false">
      <c r="A165" s="160" t="s">
        <v>260</v>
      </c>
      <c r="B165" s="160" t="s">
        <v>261</v>
      </c>
      <c r="C165" s="160" t="s">
        <v>435</v>
      </c>
      <c r="D165" s="160" t="s">
        <v>433</v>
      </c>
      <c r="E165" s="160" t="n">
        <v>602560391</v>
      </c>
      <c r="F165" s="161" t="n">
        <v>1168</v>
      </c>
      <c r="G165" s="161" t="n">
        <v>1153</v>
      </c>
      <c r="H165" s="155"/>
      <c r="I165" s="155"/>
      <c r="J165" s="156" t="n">
        <v>1688.67983693948</v>
      </c>
    </row>
    <row r="166" customFormat="false" ht="13.5" hidden="false" customHeight="false" outlineLevel="0" collapsed="false">
      <c r="A166" s="160" t="s">
        <v>260</v>
      </c>
      <c r="B166" s="160" t="s">
        <v>261</v>
      </c>
      <c r="C166" s="160" t="s">
        <v>432</v>
      </c>
      <c r="D166" s="160" t="s">
        <v>433</v>
      </c>
      <c r="E166" s="160" t="n">
        <v>602560353</v>
      </c>
      <c r="F166" s="161" t="n">
        <v>1009</v>
      </c>
      <c r="G166" s="161" t="n">
        <v>802</v>
      </c>
      <c r="J166" s="156" t="n">
        <v>1688.67983693948</v>
      </c>
    </row>
    <row r="167" s="162" customFormat="true" ht="13.5" hidden="false" customHeight="false" outlineLevel="0" collapsed="false">
      <c r="A167" s="160" t="s">
        <v>260</v>
      </c>
      <c r="B167" s="160" t="s">
        <v>261</v>
      </c>
      <c r="C167" s="160" t="s">
        <v>435</v>
      </c>
      <c r="D167" s="160" t="s">
        <v>436</v>
      </c>
      <c r="E167" s="160" t="n">
        <v>16200489</v>
      </c>
      <c r="F167" s="161" t="n">
        <v>184.702</v>
      </c>
      <c r="G167" s="161" t="n">
        <v>136.97</v>
      </c>
      <c r="H167" s="155" t="n">
        <v>152.08</v>
      </c>
      <c r="I167" s="155"/>
      <c r="J167" s="156"/>
    </row>
    <row r="168" customFormat="false" ht="13.5" hidden="false" customHeight="false" outlineLevel="0" collapsed="false">
      <c r="A168" s="160" t="s">
        <v>260</v>
      </c>
      <c r="B168" s="160" t="s">
        <v>261</v>
      </c>
      <c r="C168" s="160" t="s">
        <v>435</v>
      </c>
      <c r="D168" s="160" t="s">
        <v>145</v>
      </c>
      <c r="E168" s="160" t="n">
        <v>16160962</v>
      </c>
      <c r="F168" s="161" t="n">
        <v>66.794</v>
      </c>
      <c r="G168" s="161" t="n">
        <v>47.513</v>
      </c>
      <c r="I168" s="155" t="n">
        <v>25.3466666666667</v>
      </c>
      <c r="J168" s="156"/>
    </row>
    <row r="169" s="162" customFormat="true" ht="13.5" hidden="false" customHeight="false" outlineLevel="0" collapsed="false">
      <c r="A169" s="160" t="s">
        <v>263</v>
      </c>
      <c r="B169" s="160" t="s">
        <v>264</v>
      </c>
      <c r="C169" s="160" t="s">
        <v>432</v>
      </c>
      <c r="D169" s="160" t="s">
        <v>433</v>
      </c>
      <c r="E169" s="160" t="n">
        <v>602560322</v>
      </c>
      <c r="F169" s="161" t="n">
        <v>1053</v>
      </c>
      <c r="G169" s="161" t="n">
        <v>897</v>
      </c>
      <c r="H169" s="155"/>
      <c r="I169" s="155"/>
      <c r="J169" s="156" t="n">
        <v>1114.52869238006</v>
      </c>
    </row>
    <row r="170" customFormat="false" ht="13.5" hidden="false" customHeight="false" outlineLevel="0" collapsed="false">
      <c r="A170" s="160" t="s">
        <v>263</v>
      </c>
      <c r="B170" s="160" t="s">
        <v>264</v>
      </c>
      <c r="C170" s="160" t="s">
        <v>432</v>
      </c>
      <c r="D170" s="160" t="s">
        <v>433</v>
      </c>
      <c r="E170" s="160" t="n">
        <v>602560360</v>
      </c>
      <c r="F170" s="161" t="n">
        <v>489</v>
      </c>
      <c r="G170" s="161" t="n">
        <v>721</v>
      </c>
      <c r="J170" s="156" t="n">
        <v>1114.52869238006</v>
      </c>
    </row>
    <row r="171" s="162" customFormat="true" ht="13.5" hidden="false" customHeight="false" outlineLevel="0" collapsed="false">
      <c r="A171" s="160" t="s">
        <v>263</v>
      </c>
      <c r="B171" s="160" t="s">
        <v>264</v>
      </c>
      <c r="C171" s="160" t="s">
        <v>441</v>
      </c>
      <c r="D171" s="160" t="s">
        <v>433</v>
      </c>
      <c r="E171" s="160" t="n">
        <v>602560315</v>
      </c>
      <c r="F171" s="161" t="n">
        <v>1412</v>
      </c>
      <c r="G171" s="161" t="n">
        <v>580</v>
      </c>
      <c r="H171" s="155"/>
      <c r="I171" s="155"/>
      <c r="J171" s="156" t="n">
        <v>1114.52869238006</v>
      </c>
    </row>
    <row r="172" customFormat="false" ht="13.5" hidden="false" customHeight="false" outlineLevel="0" collapsed="false">
      <c r="A172" s="160" t="s">
        <v>263</v>
      </c>
      <c r="B172" s="160" t="s">
        <v>264</v>
      </c>
      <c r="C172" s="160" t="s">
        <v>435</v>
      </c>
      <c r="D172" s="160" t="s">
        <v>433</v>
      </c>
      <c r="E172" s="160" t="n">
        <v>602560346</v>
      </c>
      <c r="F172" s="161" t="n">
        <v>347</v>
      </c>
      <c r="G172" s="161" t="n">
        <v>324</v>
      </c>
      <c r="J172" s="156" t="n">
        <v>1114.52869238006</v>
      </c>
    </row>
    <row r="173" s="162" customFormat="true" ht="13.5" hidden="false" customHeight="false" outlineLevel="0" collapsed="false">
      <c r="A173" s="160" t="s">
        <v>263</v>
      </c>
      <c r="B173" s="160" t="s">
        <v>264</v>
      </c>
      <c r="C173" s="160" t="s">
        <v>434</v>
      </c>
      <c r="D173" s="160" t="s">
        <v>433</v>
      </c>
      <c r="E173" s="160" t="n">
        <v>602560339</v>
      </c>
      <c r="F173" s="161" t="n">
        <v>1340</v>
      </c>
      <c r="G173" s="161" t="n">
        <v>841</v>
      </c>
      <c r="H173" s="155"/>
      <c r="I173" s="155"/>
      <c r="J173" s="156" t="n">
        <v>1114.52869238006</v>
      </c>
    </row>
    <row r="174" customFormat="false" ht="13.5" hidden="false" customHeight="false" outlineLevel="0" collapsed="false">
      <c r="A174" s="160" t="s">
        <v>263</v>
      </c>
      <c r="B174" s="160" t="s">
        <v>264</v>
      </c>
      <c r="C174" s="160" t="s">
        <v>439</v>
      </c>
      <c r="D174" s="160" t="s">
        <v>436</v>
      </c>
      <c r="E174" s="160" t="n">
        <v>16200256</v>
      </c>
      <c r="F174" s="161" t="n">
        <v>49.7</v>
      </c>
      <c r="G174" s="161" t="n">
        <v>35.367</v>
      </c>
      <c r="H174" s="155" t="n">
        <v>50.19</v>
      </c>
      <c r="J174" s="156"/>
    </row>
    <row r="175" s="162" customFormat="true" ht="13.5" hidden="false" customHeight="false" outlineLevel="0" collapsed="false">
      <c r="A175" s="160" t="s">
        <v>263</v>
      </c>
      <c r="B175" s="160" t="s">
        <v>264</v>
      </c>
      <c r="C175" s="160" t="s">
        <v>435</v>
      </c>
      <c r="D175" s="160" t="s">
        <v>436</v>
      </c>
      <c r="E175" s="160" t="n">
        <v>16200257</v>
      </c>
      <c r="F175" s="161" t="n">
        <v>131.167</v>
      </c>
      <c r="G175" s="161" t="n">
        <v>106.835</v>
      </c>
      <c r="H175" s="155" t="n">
        <v>50.19</v>
      </c>
      <c r="I175" s="155"/>
      <c r="J175" s="156"/>
    </row>
    <row r="176" customFormat="false" ht="13.5" hidden="false" customHeight="false" outlineLevel="0" collapsed="false">
      <c r="A176" s="160" t="s">
        <v>263</v>
      </c>
      <c r="B176" s="160" t="s">
        <v>264</v>
      </c>
      <c r="C176" s="160" t="s">
        <v>439</v>
      </c>
      <c r="D176" s="160" t="s">
        <v>145</v>
      </c>
      <c r="E176" s="160" t="n">
        <v>16160921</v>
      </c>
      <c r="F176" s="161" t="n">
        <v>34.168</v>
      </c>
      <c r="G176" s="161" t="n">
        <v>26.178</v>
      </c>
      <c r="I176" s="155" t="n">
        <v>16.73</v>
      </c>
      <c r="J176" s="156"/>
    </row>
    <row r="177" s="162" customFormat="true" ht="13.5" hidden="false" customHeight="false" outlineLevel="0" collapsed="false">
      <c r="A177" s="160" t="s">
        <v>263</v>
      </c>
      <c r="B177" s="160" t="s">
        <v>264</v>
      </c>
      <c r="C177" s="160" t="s">
        <v>435</v>
      </c>
      <c r="D177" s="160" t="s">
        <v>145</v>
      </c>
      <c r="E177" s="160" t="n">
        <v>16160580</v>
      </c>
      <c r="F177" s="161" t="n">
        <v>67.882</v>
      </c>
      <c r="G177" s="161" t="n">
        <v>56.001</v>
      </c>
      <c r="H177" s="155"/>
      <c r="I177" s="155" t="n">
        <v>16.73</v>
      </c>
      <c r="J177" s="156"/>
    </row>
    <row r="178" customFormat="false" ht="13.5" hidden="false" customHeight="false" outlineLevel="0" collapsed="false">
      <c r="A178" s="160" t="s">
        <v>266</v>
      </c>
      <c r="B178" s="160" t="s">
        <v>267</v>
      </c>
      <c r="C178" s="160" t="s">
        <v>432</v>
      </c>
      <c r="D178" s="160" t="s">
        <v>433</v>
      </c>
      <c r="E178" s="160" t="n">
        <v>620007304</v>
      </c>
      <c r="F178" s="161" t="n">
        <v>1192</v>
      </c>
      <c r="G178" s="161" t="n">
        <v>1196</v>
      </c>
      <c r="J178" s="156" t="n">
        <v>1013.20790216369</v>
      </c>
    </row>
    <row r="179" s="162" customFormat="true" ht="13.5" hidden="false" customHeight="false" outlineLevel="0" collapsed="false">
      <c r="A179" s="160" t="s">
        <v>266</v>
      </c>
      <c r="B179" s="160" t="s">
        <v>267</v>
      </c>
      <c r="C179" s="160" t="s">
        <v>441</v>
      </c>
      <c r="D179" s="160" t="s">
        <v>433</v>
      </c>
      <c r="E179" s="160" t="n">
        <v>620007342</v>
      </c>
      <c r="F179" s="161" t="n">
        <v>422</v>
      </c>
      <c r="G179" s="161" t="n">
        <v>324</v>
      </c>
      <c r="H179" s="155"/>
      <c r="I179" s="155"/>
      <c r="J179" s="156" t="n">
        <v>1013.20790216369</v>
      </c>
    </row>
    <row r="180" customFormat="false" ht="13.5" hidden="false" customHeight="false" outlineLevel="0" collapsed="false">
      <c r="A180" s="160" t="s">
        <v>266</v>
      </c>
      <c r="B180" s="160" t="s">
        <v>267</v>
      </c>
      <c r="C180" s="160" t="s">
        <v>432</v>
      </c>
      <c r="D180" s="160" t="s">
        <v>433</v>
      </c>
      <c r="E180" s="160" t="n">
        <v>620007496</v>
      </c>
      <c r="F180" s="161" t="n">
        <v>1397</v>
      </c>
      <c r="G180" s="161" t="n">
        <v>1214</v>
      </c>
      <c r="J180" s="156" t="n">
        <v>1013.20790216369</v>
      </c>
    </row>
    <row r="181" s="162" customFormat="true" ht="13.5" hidden="false" customHeight="false" outlineLevel="0" collapsed="false">
      <c r="A181" s="160" t="s">
        <v>266</v>
      </c>
      <c r="B181" s="160" t="s">
        <v>267</v>
      </c>
      <c r="C181" s="160" t="s">
        <v>444</v>
      </c>
      <c r="D181" s="160" t="s">
        <v>433</v>
      </c>
      <c r="E181" s="160" t="n">
        <v>620008134</v>
      </c>
      <c r="F181" s="161" t="n">
        <v>65</v>
      </c>
      <c r="G181" s="161" t="n">
        <v>10</v>
      </c>
      <c r="H181" s="155"/>
      <c r="I181" s="155"/>
      <c r="J181" s="156" t="n">
        <v>1013.20790216369</v>
      </c>
    </row>
    <row r="182" customFormat="false" ht="13.5" hidden="false" customHeight="false" outlineLevel="0" collapsed="false">
      <c r="A182" s="160" t="s">
        <v>266</v>
      </c>
      <c r="B182" s="160" t="s">
        <v>267</v>
      </c>
      <c r="C182" s="160" t="s">
        <v>435</v>
      </c>
      <c r="D182" s="160" t="s">
        <v>433</v>
      </c>
      <c r="E182" s="160" t="n">
        <v>620007267</v>
      </c>
      <c r="F182" s="161" t="n">
        <v>1006</v>
      </c>
      <c r="G182" s="161" t="n">
        <v>1033</v>
      </c>
      <c r="J182" s="156" t="n">
        <v>1013.20790216369</v>
      </c>
    </row>
    <row r="183" s="162" customFormat="true" ht="13.5" hidden="false" customHeight="false" outlineLevel="0" collapsed="false">
      <c r="A183" s="160" t="s">
        <v>266</v>
      </c>
      <c r="B183" s="160" t="s">
        <v>267</v>
      </c>
      <c r="C183" s="160" t="s">
        <v>444</v>
      </c>
      <c r="D183" s="160" t="s">
        <v>433</v>
      </c>
      <c r="E183" s="160" t="n">
        <v>620007229</v>
      </c>
      <c r="F183" s="161" t="n">
        <v>449</v>
      </c>
      <c r="G183" s="161" t="n">
        <v>532</v>
      </c>
      <c r="H183" s="155"/>
      <c r="I183" s="155"/>
      <c r="J183" s="156" t="n">
        <v>1013.20790216369</v>
      </c>
    </row>
    <row r="184" customFormat="false" ht="13.5" hidden="false" customHeight="false" outlineLevel="0" collapsed="false">
      <c r="A184" s="160" t="s">
        <v>266</v>
      </c>
      <c r="B184" s="160" t="s">
        <v>267</v>
      </c>
      <c r="C184" s="160" t="s">
        <v>441</v>
      </c>
      <c r="D184" s="160" t="s">
        <v>433</v>
      </c>
      <c r="E184" s="160" t="n">
        <v>620007243</v>
      </c>
      <c r="F184" s="161" t="n">
        <v>476</v>
      </c>
      <c r="G184" s="161" t="n">
        <v>571</v>
      </c>
      <c r="J184" s="156" t="n">
        <v>1013.20790216369</v>
      </c>
    </row>
    <row r="185" s="162" customFormat="true" ht="13.5" hidden="false" customHeight="false" outlineLevel="0" collapsed="false">
      <c r="A185" s="160" t="s">
        <v>266</v>
      </c>
      <c r="B185" s="160" t="s">
        <v>267</v>
      </c>
      <c r="C185" s="160" t="s">
        <v>439</v>
      </c>
      <c r="D185" s="160" t="s">
        <v>436</v>
      </c>
      <c r="E185" s="160" t="n">
        <v>16075864</v>
      </c>
      <c r="F185" s="161" t="n">
        <v>103.158</v>
      </c>
      <c r="G185" s="161" t="n">
        <v>81.064</v>
      </c>
      <c r="H185" s="155" t="n">
        <v>45.625</v>
      </c>
      <c r="I185" s="155"/>
      <c r="J185" s="156"/>
    </row>
    <row r="186" customFormat="false" ht="13.5" hidden="false" customHeight="false" outlineLevel="0" collapsed="false">
      <c r="A186" s="160" t="s">
        <v>266</v>
      </c>
      <c r="B186" s="160" t="s">
        <v>267</v>
      </c>
      <c r="C186" s="160" t="s">
        <v>435</v>
      </c>
      <c r="D186" s="160" t="s">
        <v>436</v>
      </c>
      <c r="E186" s="160" t="n">
        <v>16075868</v>
      </c>
      <c r="F186" s="161" t="n">
        <v>82.882</v>
      </c>
      <c r="G186" s="161" t="n">
        <v>69.984</v>
      </c>
      <c r="H186" s="155" t="n">
        <v>45.625</v>
      </c>
      <c r="J186" s="156"/>
    </row>
    <row r="187" s="162" customFormat="true" ht="13.5" hidden="false" customHeight="false" outlineLevel="0" collapsed="false">
      <c r="A187" s="160" t="s">
        <v>266</v>
      </c>
      <c r="B187" s="160" t="s">
        <v>267</v>
      </c>
      <c r="C187" s="160" t="s">
        <v>439</v>
      </c>
      <c r="D187" s="160" t="s">
        <v>145</v>
      </c>
      <c r="E187" s="160" t="n">
        <v>16160643</v>
      </c>
      <c r="F187" s="161" t="n">
        <v>37.081</v>
      </c>
      <c r="G187" s="161" t="n">
        <v>30.002</v>
      </c>
      <c r="H187" s="155"/>
      <c r="I187" s="155" t="n">
        <v>15.21</v>
      </c>
      <c r="J187" s="156"/>
    </row>
    <row r="188" customFormat="false" ht="13.5" hidden="false" customHeight="false" outlineLevel="0" collapsed="false">
      <c r="A188" s="160" t="s">
        <v>266</v>
      </c>
      <c r="B188" s="160" t="s">
        <v>267</v>
      </c>
      <c r="C188" s="160" t="s">
        <v>435</v>
      </c>
      <c r="D188" s="160" t="s">
        <v>145</v>
      </c>
      <c r="E188" s="160" t="n">
        <v>16160926</v>
      </c>
      <c r="F188" s="161" t="n">
        <v>24.988</v>
      </c>
      <c r="G188" s="161" t="n">
        <v>20.6</v>
      </c>
      <c r="I188" s="155" t="n">
        <v>15.21</v>
      </c>
      <c r="J188" s="156"/>
    </row>
    <row r="189" s="162" customFormat="true" ht="13.5" hidden="false" customHeight="false" outlineLevel="0" collapsed="false">
      <c r="A189" s="160" t="s">
        <v>269</v>
      </c>
      <c r="B189" s="160" t="s">
        <v>270</v>
      </c>
      <c r="C189" s="160" t="s">
        <v>435</v>
      </c>
      <c r="D189" s="160" t="s">
        <v>433</v>
      </c>
      <c r="E189" s="160" t="n">
        <v>620008370</v>
      </c>
      <c r="F189" s="161" t="n">
        <v>72</v>
      </c>
      <c r="G189" s="161" t="n">
        <v>18</v>
      </c>
      <c r="H189" s="155"/>
      <c r="I189" s="155"/>
      <c r="J189" s="156" t="n">
        <v>337.735967387896</v>
      </c>
    </row>
    <row r="190" customFormat="false" ht="13.5" hidden="false" customHeight="false" outlineLevel="0" collapsed="false">
      <c r="A190" s="160" t="s">
        <v>269</v>
      </c>
      <c r="B190" s="160" t="s">
        <v>270</v>
      </c>
      <c r="C190" s="160" t="s">
        <v>441</v>
      </c>
      <c r="D190" s="160" t="s">
        <v>433</v>
      </c>
      <c r="E190" s="160" t="n">
        <v>620008233</v>
      </c>
      <c r="F190" s="161" t="n">
        <v>398</v>
      </c>
      <c r="G190" s="161" t="n">
        <v>397</v>
      </c>
      <c r="J190" s="156" t="n">
        <v>337.735967387896</v>
      </c>
    </row>
    <row r="191" customFormat="false" ht="13.5" hidden="false" customHeight="false" outlineLevel="0" collapsed="false">
      <c r="A191" s="160" t="s">
        <v>269</v>
      </c>
      <c r="B191" s="160" t="s">
        <v>270</v>
      </c>
      <c r="C191" s="160" t="s">
        <v>432</v>
      </c>
      <c r="D191" s="160" t="s">
        <v>433</v>
      </c>
      <c r="E191" s="160" t="n">
        <v>620008257</v>
      </c>
      <c r="F191" s="161" t="n">
        <v>873</v>
      </c>
      <c r="G191" s="161" t="n">
        <v>685</v>
      </c>
      <c r="J191" s="156" t="n">
        <v>337.735967387896</v>
      </c>
    </row>
    <row r="192" customFormat="false" ht="13.5" hidden="false" customHeight="false" outlineLevel="0" collapsed="false">
      <c r="A192" s="160" t="s">
        <v>269</v>
      </c>
      <c r="B192" s="160" t="s">
        <v>270</v>
      </c>
      <c r="C192" s="160" t="s">
        <v>441</v>
      </c>
      <c r="D192" s="160" t="s">
        <v>433</v>
      </c>
      <c r="E192" s="160" t="n">
        <v>620008318</v>
      </c>
      <c r="F192" s="161" t="n">
        <v>721</v>
      </c>
      <c r="G192" s="161" t="n">
        <v>539</v>
      </c>
      <c r="J192" s="156" t="n">
        <v>337.735967387896</v>
      </c>
    </row>
    <row r="193" customFormat="false" ht="13.5" hidden="false" customHeight="false" outlineLevel="0" collapsed="false">
      <c r="A193" s="160" t="s">
        <v>269</v>
      </c>
      <c r="B193" s="160" t="s">
        <v>270</v>
      </c>
      <c r="C193" s="160" t="s">
        <v>432</v>
      </c>
      <c r="D193" s="160" t="s">
        <v>433</v>
      </c>
      <c r="E193" s="160" t="n">
        <v>620008219</v>
      </c>
      <c r="F193" s="161" t="n">
        <v>667</v>
      </c>
      <c r="G193" s="161" t="n">
        <v>534</v>
      </c>
      <c r="J193" s="156" t="n">
        <v>337.735967387896</v>
      </c>
    </row>
    <row r="194" customFormat="false" ht="13.5" hidden="false" customHeight="false" outlineLevel="0" collapsed="false">
      <c r="A194" s="160" t="s">
        <v>269</v>
      </c>
      <c r="B194" s="160" t="s">
        <v>270</v>
      </c>
      <c r="C194" s="160" t="s">
        <v>435</v>
      </c>
      <c r="D194" s="160" t="s">
        <v>433</v>
      </c>
      <c r="E194" s="160" t="n">
        <v>620008356</v>
      </c>
      <c r="F194" s="161" t="n">
        <v>160</v>
      </c>
      <c r="G194" s="161" t="n">
        <v>104</v>
      </c>
      <c r="J194" s="156" t="n">
        <v>337.735967387896</v>
      </c>
    </row>
    <row r="195" customFormat="false" ht="13.5" hidden="false" customHeight="false" outlineLevel="0" collapsed="false">
      <c r="A195" s="160" t="s">
        <v>269</v>
      </c>
      <c r="B195" s="160" t="s">
        <v>270</v>
      </c>
      <c r="C195" s="160" t="s">
        <v>435</v>
      </c>
      <c r="D195" s="160" t="s">
        <v>436</v>
      </c>
      <c r="E195" s="160" t="n">
        <v>16200251</v>
      </c>
      <c r="F195" s="161" t="n">
        <v>204.208</v>
      </c>
      <c r="G195" s="161" t="n">
        <v>168.129</v>
      </c>
      <c r="H195" s="155" t="n">
        <v>15.21</v>
      </c>
      <c r="J195" s="156"/>
    </row>
    <row r="196" customFormat="false" ht="13.5" hidden="false" customHeight="false" outlineLevel="0" collapsed="false">
      <c r="A196" s="160" t="s">
        <v>269</v>
      </c>
      <c r="B196" s="160" t="s">
        <v>270</v>
      </c>
      <c r="C196" s="160" t="s">
        <v>415</v>
      </c>
      <c r="D196" s="160" t="s">
        <v>436</v>
      </c>
      <c r="E196" s="160" t="n">
        <v>16075690</v>
      </c>
      <c r="F196" s="161" t="n">
        <v>68.318</v>
      </c>
      <c r="G196" s="161" t="n">
        <v>54.212</v>
      </c>
      <c r="H196" s="155" t="n">
        <v>15.21</v>
      </c>
      <c r="J196" s="156"/>
    </row>
    <row r="197" customFormat="false" ht="13.5" hidden="false" customHeight="false" outlineLevel="0" collapsed="false">
      <c r="A197" s="160" t="s">
        <v>269</v>
      </c>
      <c r="B197" s="160" t="s">
        <v>270</v>
      </c>
      <c r="C197" s="160" t="s">
        <v>435</v>
      </c>
      <c r="D197" s="160" t="s">
        <v>145</v>
      </c>
      <c r="E197" s="160" t="n">
        <v>16160644</v>
      </c>
      <c r="F197" s="161" t="n">
        <v>105.188</v>
      </c>
      <c r="G197" s="161" t="n">
        <v>84.108</v>
      </c>
      <c r="I197" s="155" t="n">
        <v>5.07</v>
      </c>
      <c r="J197" s="156"/>
    </row>
    <row r="198" customFormat="false" ht="13.5" hidden="false" customHeight="false" outlineLevel="0" collapsed="false">
      <c r="A198" s="160" t="s">
        <v>269</v>
      </c>
      <c r="B198" s="160" t="s">
        <v>270</v>
      </c>
      <c r="C198" s="160" t="s">
        <v>415</v>
      </c>
      <c r="D198" s="160" t="s">
        <v>145</v>
      </c>
      <c r="E198" s="160" t="n">
        <v>16160650</v>
      </c>
      <c r="F198" s="161" t="n">
        <v>17.092</v>
      </c>
      <c r="G198" s="161" t="n">
        <v>14.088</v>
      </c>
      <c r="I198" s="155" t="n">
        <v>5.07</v>
      </c>
      <c r="J198" s="156"/>
    </row>
    <row r="199" customFormat="false" ht="13.5" hidden="false" customHeight="false" outlineLevel="0" collapsed="false">
      <c r="A199" s="160" t="s">
        <v>272</v>
      </c>
      <c r="B199" s="160" t="s">
        <v>273</v>
      </c>
      <c r="C199" s="160" t="s">
        <v>432</v>
      </c>
      <c r="D199" s="160" t="s">
        <v>433</v>
      </c>
      <c r="E199" s="160" t="n">
        <v>620008110</v>
      </c>
      <c r="F199" s="161" t="n">
        <v>2892</v>
      </c>
      <c r="G199" s="161" t="n">
        <v>1910</v>
      </c>
      <c r="J199" s="156" t="n">
        <v>337.735967387896</v>
      </c>
    </row>
    <row r="200" customFormat="false" ht="13.5" hidden="false" customHeight="false" outlineLevel="0" collapsed="false">
      <c r="A200" s="160" t="s">
        <v>272</v>
      </c>
      <c r="B200" s="160" t="s">
        <v>273</v>
      </c>
      <c r="C200" s="160" t="s">
        <v>434</v>
      </c>
      <c r="D200" s="160" t="s">
        <v>433</v>
      </c>
      <c r="E200" s="160" t="n">
        <v>620007328</v>
      </c>
      <c r="F200" s="161" t="n">
        <v>0</v>
      </c>
      <c r="G200" s="161" t="n">
        <v>289</v>
      </c>
      <c r="J200" s="156" t="n">
        <v>337.735967387896</v>
      </c>
    </row>
    <row r="201" customFormat="false" ht="13.5" hidden="false" customHeight="false" outlineLevel="0" collapsed="false">
      <c r="A201" s="160" t="s">
        <v>272</v>
      </c>
      <c r="B201" s="160" t="s">
        <v>273</v>
      </c>
      <c r="C201" s="160" t="s">
        <v>438</v>
      </c>
      <c r="D201" s="160" t="s">
        <v>433</v>
      </c>
      <c r="E201" s="160" t="n">
        <v>620007472</v>
      </c>
      <c r="F201" s="161" t="n">
        <v>42</v>
      </c>
      <c r="G201" s="161" t="n">
        <v>246</v>
      </c>
      <c r="J201" s="156" t="n">
        <v>337.735967387896</v>
      </c>
    </row>
    <row r="202" customFormat="false" ht="13.5" hidden="false" customHeight="false" outlineLevel="0" collapsed="false">
      <c r="A202" s="160" t="s">
        <v>272</v>
      </c>
      <c r="B202" s="160" t="s">
        <v>273</v>
      </c>
      <c r="C202" s="160" t="s">
        <v>438</v>
      </c>
      <c r="D202" s="160" t="s">
        <v>433</v>
      </c>
      <c r="E202" s="160" t="n">
        <v>620008516</v>
      </c>
      <c r="F202" s="161" t="n">
        <v>6</v>
      </c>
      <c r="G202" s="161" t="n">
        <v>163</v>
      </c>
      <c r="J202" s="156" t="n">
        <v>337.735967387896</v>
      </c>
    </row>
    <row r="203" customFormat="false" ht="13.5" hidden="false" customHeight="false" outlineLevel="0" collapsed="false">
      <c r="A203" s="160" t="s">
        <v>272</v>
      </c>
      <c r="B203" s="160" t="s">
        <v>273</v>
      </c>
      <c r="C203" s="160" t="s">
        <v>415</v>
      </c>
      <c r="D203" s="160" t="s">
        <v>433</v>
      </c>
      <c r="E203" s="160" t="n">
        <v>620215020</v>
      </c>
      <c r="F203" s="161" t="n">
        <v>3492</v>
      </c>
      <c r="G203" s="161" t="n">
        <v>3028</v>
      </c>
      <c r="J203" s="156" t="n">
        <v>337.735967387896</v>
      </c>
    </row>
    <row r="204" customFormat="false" ht="13.5" hidden="false" customHeight="false" outlineLevel="0" collapsed="false">
      <c r="A204" s="160" t="s">
        <v>272</v>
      </c>
      <c r="B204" s="160" t="s">
        <v>273</v>
      </c>
      <c r="C204" s="160" t="s">
        <v>435</v>
      </c>
      <c r="D204" s="160" t="s">
        <v>433</v>
      </c>
      <c r="E204" s="160" t="n">
        <v>620008493</v>
      </c>
      <c r="F204" s="161" t="n">
        <v>1017</v>
      </c>
      <c r="G204" s="161" t="n">
        <v>381</v>
      </c>
      <c r="J204" s="156" t="n">
        <v>337.735967387896</v>
      </c>
    </row>
    <row r="205" customFormat="false" ht="13.5" hidden="false" customHeight="false" outlineLevel="0" collapsed="false">
      <c r="A205" s="160" t="s">
        <v>272</v>
      </c>
      <c r="B205" s="160" t="s">
        <v>273</v>
      </c>
      <c r="C205" s="160" t="s">
        <v>434</v>
      </c>
      <c r="D205" s="160" t="s">
        <v>433</v>
      </c>
      <c r="E205" s="160" t="n">
        <v>620008332</v>
      </c>
      <c r="F205" s="161" t="n">
        <v>0</v>
      </c>
      <c r="G205" s="161" t="n">
        <v>282</v>
      </c>
      <c r="J205" s="156" t="n">
        <v>337.735967387896</v>
      </c>
    </row>
    <row r="206" customFormat="false" ht="13.5" hidden="false" customHeight="false" outlineLevel="0" collapsed="false">
      <c r="A206" s="160" t="s">
        <v>272</v>
      </c>
      <c r="B206" s="160" t="s">
        <v>273</v>
      </c>
      <c r="C206" s="160" t="s">
        <v>415</v>
      </c>
      <c r="D206" s="160" t="s">
        <v>433</v>
      </c>
      <c r="E206" s="160" t="n">
        <v>620008455</v>
      </c>
      <c r="F206" s="161" t="n">
        <v>2345</v>
      </c>
      <c r="G206" s="161" t="n">
        <v>2740</v>
      </c>
      <c r="J206" s="156" t="n">
        <v>337.735967387896</v>
      </c>
    </row>
    <row r="207" customFormat="false" ht="13.5" hidden="false" customHeight="false" outlineLevel="0" collapsed="false">
      <c r="A207" s="160" t="s">
        <v>272</v>
      </c>
      <c r="B207" s="160" t="s">
        <v>273</v>
      </c>
      <c r="C207" s="160" t="s">
        <v>435</v>
      </c>
      <c r="D207" s="160" t="s">
        <v>433</v>
      </c>
      <c r="E207" s="160" t="n">
        <v>620008196</v>
      </c>
      <c r="F207" s="161" t="n">
        <v>2548</v>
      </c>
      <c r="G207" s="161" t="n">
        <v>735</v>
      </c>
      <c r="J207" s="156" t="n">
        <v>337.735967387896</v>
      </c>
    </row>
    <row r="208" customFormat="false" ht="13.5" hidden="false" customHeight="false" outlineLevel="0" collapsed="false">
      <c r="A208" s="160" t="s">
        <v>272</v>
      </c>
      <c r="B208" s="160" t="s">
        <v>273</v>
      </c>
      <c r="C208" s="160" t="s">
        <v>432</v>
      </c>
      <c r="D208" s="160" t="s">
        <v>433</v>
      </c>
      <c r="E208" s="160" t="n">
        <v>620007366</v>
      </c>
      <c r="F208" s="161" t="n">
        <v>2313</v>
      </c>
      <c r="G208" s="161" t="n">
        <v>1803</v>
      </c>
      <c r="J208" s="156" t="n">
        <v>337.735967387896</v>
      </c>
    </row>
    <row r="209" customFormat="false" ht="13.5" hidden="false" customHeight="false" outlineLevel="0" collapsed="false">
      <c r="A209" s="160" t="s">
        <v>272</v>
      </c>
      <c r="B209" s="160" t="s">
        <v>273</v>
      </c>
      <c r="C209" s="160" t="s">
        <v>435</v>
      </c>
      <c r="D209" s="160" t="s">
        <v>436</v>
      </c>
      <c r="E209" s="160" t="n">
        <v>16200484</v>
      </c>
      <c r="F209" s="161" t="n">
        <v>131.812</v>
      </c>
      <c r="G209" s="161" t="n">
        <v>103.561</v>
      </c>
      <c r="H209" s="155" t="n">
        <v>7.605</v>
      </c>
      <c r="J209" s="156"/>
    </row>
    <row r="210" customFormat="false" ht="13.5" hidden="false" customHeight="false" outlineLevel="0" collapsed="false">
      <c r="A210" s="160" t="s">
        <v>272</v>
      </c>
      <c r="B210" s="160" t="s">
        <v>273</v>
      </c>
      <c r="C210" s="160" t="s">
        <v>435</v>
      </c>
      <c r="D210" s="160" t="s">
        <v>436</v>
      </c>
      <c r="E210" s="160" t="n">
        <v>16201338</v>
      </c>
      <c r="F210" s="161" t="n">
        <v>101.896</v>
      </c>
      <c r="G210" s="161" t="n">
        <v>75.271</v>
      </c>
      <c r="H210" s="155" t="n">
        <v>7.605</v>
      </c>
      <c r="J210" s="156"/>
    </row>
    <row r="211" customFormat="false" ht="13.5" hidden="false" customHeight="false" outlineLevel="0" collapsed="false">
      <c r="A211" s="160" t="s">
        <v>272</v>
      </c>
      <c r="B211" s="160" t="s">
        <v>273</v>
      </c>
      <c r="C211" s="160" t="s">
        <v>415</v>
      </c>
      <c r="D211" s="160" t="s">
        <v>436</v>
      </c>
      <c r="E211" s="160" t="n">
        <v>16209340</v>
      </c>
      <c r="F211" s="161" t="n">
        <v>71.162</v>
      </c>
      <c r="G211" s="161" t="n">
        <v>59.509</v>
      </c>
      <c r="H211" s="155" t="n">
        <v>7.605</v>
      </c>
      <c r="J211" s="156"/>
    </row>
    <row r="212" customFormat="false" ht="13.5" hidden="false" customHeight="false" outlineLevel="0" collapsed="false">
      <c r="A212" s="160" t="s">
        <v>272</v>
      </c>
      <c r="B212" s="160" t="s">
        <v>273</v>
      </c>
      <c r="C212" s="160" t="s">
        <v>435</v>
      </c>
      <c r="D212" s="160" t="s">
        <v>145</v>
      </c>
      <c r="E212" s="160" t="n">
        <v>16160963</v>
      </c>
      <c r="F212" s="161" t="n">
        <v>37.781</v>
      </c>
      <c r="G212" s="161" t="n">
        <v>25.608</v>
      </c>
      <c r="I212" s="155" t="n">
        <v>5.07</v>
      </c>
      <c r="J212" s="156"/>
    </row>
    <row r="213" customFormat="false" ht="13.5" hidden="false" customHeight="false" outlineLevel="0" collapsed="false">
      <c r="A213" s="160" t="s">
        <v>272</v>
      </c>
      <c r="B213" s="160" t="s">
        <v>273</v>
      </c>
      <c r="C213" s="160" t="s">
        <v>435</v>
      </c>
      <c r="D213" s="160" t="s">
        <v>145</v>
      </c>
      <c r="E213" s="160" t="n">
        <v>16129397</v>
      </c>
      <c r="F213" s="161" t="n">
        <v>5.416</v>
      </c>
      <c r="G213" s="161" t="n">
        <v>3.873</v>
      </c>
      <c r="I213" s="155" t="n">
        <v>5.07</v>
      </c>
      <c r="J213" s="156"/>
    </row>
    <row r="214" customFormat="false" ht="13.5" hidden="false" customHeight="false" outlineLevel="0" collapsed="false">
      <c r="A214" s="160" t="s">
        <v>272</v>
      </c>
      <c r="B214" s="160" t="s">
        <v>273</v>
      </c>
      <c r="C214" s="160" t="s">
        <v>415</v>
      </c>
      <c r="D214" s="160" t="s">
        <v>145</v>
      </c>
      <c r="E214" s="160" t="n">
        <v>15997897</v>
      </c>
      <c r="F214" s="161" t="n">
        <v>12.698</v>
      </c>
      <c r="G214" s="161" t="n">
        <v>9.147</v>
      </c>
      <c r="I214" s="155" t="n">
        <v>5.07</v>
      </c>
      <c r="J214" s="156"/>
    </row>
    <row r="215" customFormat="false" ht="13.5" hidden="false" customHeight="false" outlineLevel="0" collapsed="false">
      <c r="A215" s="160" t="s">
        <v>272</v>
      </c>
      <c r="B215" s="160" t="s">
        <v>273</v>
      </c>
      <c r="C215" s="160" t="s">
        <v>445</v>
      </c>
      <c r="D215" s="160" t="s">
        <v>436</v>
      </c>
      <c r="E215" s="160" t="n">
        <v>16201331</v>
      </c>
      <c r="F215" s="161" t="n">
        <v>46.158</v>
      </c>
      <c r="G215" s="161" t="n">
        <v>39.098</v>
      </c>
      <c r="H215" s="155" t="n">
        <v>7.605</v>
      </c>
      <c r="J215" s="156"/>
    </row>
    <row r="216" customFormat="false" ht="13.5" hidden="false" customHeight="false" outlineLevel="0" collapsed="false">
      <c r="A216" s="160" t="s">
        <v>272</v>
      </c>
      <c r="B216" s="160" t="s">
        <v>273</v>
      </c>
      <c r="C216" s="160" t="s">
        <v>445</v>
      </c>
      <c r="D216" s="160" t="s">
        <v>145</v>
      </c>
      <c r="E216" s="160" t="n">
        <v>16160140</v>
      </c>
      <c r="F216" s="161" t="n">
        <v>40.1</v>
      </c>
      <c r="G216" s="161" t="n">
        <v>33.047</v>
      </c>
      <c r="I216" s="155" t="n">
        <v>5.07</v>
      </c>
      <c r="J216" s="156"/>
    </row>
    <row r="217" customFormat="false" ht="13.5" hidden="false" customHeight="false" outlineLevel="0" collapsed="false">
      <c r="A217" s="160" t="s">
        <v>275</v>
      </c>
      <c r="B217" s="160" t="s">
        <v>276</v>
      </c>
      <c r="C217" s="160" t="s">
        <v>435</v>
      </c>
      <c r="D217" s="160" t="s">
        <v>433</v>
      </c>
      <c r="E217" s="160" t="n">
        <v>620007298</v>
      </c>
      <c r="F217" s="161" t="n">
        <v>41</v>
      </c>
      <c r="G217" s="161" t="n">
        <v>60</v>
      </c>
      <c r="J217" s="156" t="n">
        <v>1013.20790216369</v>
      </c>
    </row>
    <row r="218" customFormat="false" ht="13.5" hidden="false" customHeight="false" outlineLevel="0" collapsed="false">
      <c r="A218" s="160" t="s">
        <v>275</v>
      </c>
      <c r="B218" s="160" t="s">
        <v>276</v>
      </c>
      <c r="C218" s="160" t="s">
        <v>441</v>
      </c>
      <c r="D218" s="160" t="s">
        <v>433</v>
      </c>
      <c r="E218" s="160" t="n">
        <v>620009247</v>
      </c>
      <c r="F218" s="161" t="n">
        <v>276</v>
      </c>
      <c r="G218" s="161" t="n">
        <v>178</v>
      </c>
      <c r="J218" s="156" t="n">
        <v>1013.20790216369</v>
      </c>
    </row>
    <row r="219" customFormat="false" ht="13.5" hidden="false" customHeight="false" outlineLevel="0" collapsed="false">
      <c r="A219" s="160" t="s">
        <v>275</v>
      </c>
      <c r="B219" s="160" t="s">
        <v>276</v>
      </c>
      <c r="C219" s="160" t="s">
        <v>441</v>
      </c>
      <c r="D219" s="160" t="s">
        <v>433</v>
      </c>
      <c r="E219" s="160" t="n">
        <v>620007458</v>
      </c>
      <c r="F219" s="161" t="n">
        <v>279</v>
      </c>
      <c r="G219" s="161" t="n">
        <v>225</v>
      </c>
      <c r="J219" s="156" t="n">
        <v>1013.20790216369</v>
      </c>
    </row>
    <row r="220" customFormat="false" ht="13.5" hidden="false" customHeight="false" outlineLevel="0" collapsed="false">
      <c r="A220" s="160" t="s">
        <v>275</v>
      </c>
      <c r="B220" s="160" t="s">
        <v>276</v>
      </c>
      <c r="C220" s="160" t="s">
        <v>435</v>
      </c>
      <c r="D220" s="160" t="s">
        <v>433</v>
      </c>
      <c r="E220" s="160" t="n">
        <v>620009209</v>
      </c>
      <c r="F220" s="161" t="n">
        <v>1</v>
      </c>
      <c r="G220" s="161" t="n">
        <v>2</v>
      </c>
      <c r="J220" s="156" t="n">
        <v>1013.20790216369</v>
      </c>
    </row>
    <row r="221" customFormat="false" ht="13.5" hidden="false" customHeight="false" outlineLevel="0" collapsed="false">
      <c r="A221" s="160" t="s">
        <v>275</v>
      </c>
      <c r="B221" s="160" t="s">
        <v>276</v>
      </c>
      <c r="C221" s="160" t="s">
        <v>432</v>
      </c>
      <c r="D221" s="160" t="s">
        <v>433</v>
      </c>
      <c r="E221" s="160" t="n">
        <v>620007281</v>
      </c>
      <c r="F221" s="161" t="n">
        <v>1196</v>
      </c>
      <c r="G221" s="161" t="n">
        <v>1015</v>
      </c>
      <c r="J221" s="156" t="n">
        <v>1013.20790216369</v>
      </c>
    </row>
    <row r="222" customFormat="false" ht="13.5" hidden="false" customHeight="false" outlineLevel="0" collapsed="false">
      <c r="A222" s="160" t="s">
        <v>275</v>
      </c>
      <c r="B222" s="160" t="s">
        <v>276</v>
      </c>
      <c r="C222" s="160" t="s">
        <v>446</v>
      </c>
      <c r="D222" s="160" t="s">
        <v>433</v>
      </c>
      <c r="E222" s="160" t="n">
        <v>620007519</v>
      </c>
      <c r="F222" s="161" t="n">
        <v>221</v>
      </c>
      <c r="G222" s="161" t="n">
        <v>125</v>
      </c>
      <c r="J222" s="156" t="n">
        <v>1013.20790216369</v>
      </c>
    </row>
    <row r="223" customFormat="false" ht="13.5" hidden="false" customHeight="false" outlineLevel="0" collapsed="false">
      <c r="A223" s="160" t="s">
        <v>275</v>
      </c>
      <c r="B223" s="160" t="s">
        <v>276</v>
      </c>
      <c r="C223" s="160" t="s">
        <v>434</v>
      </c>
      <c r="D223" s="160" t="s">
        <v>433</v>
      </c>
      <c r="E223" s="160" t="n">
        <v>620009223</v>
      </c>
      <c r="F223" s="161" t="n">
        <v>708</v>
      </c>
      <c r="G223" s="161" t="n">
        <v>529</v>
      </c>
      <c r="J223" s="156" t="n">
        <v>1013.20790216369</v>
      </c>
    </row>
    <row r="224" customFormat="false" ht="13.5" hidden="false" customHeight="false" outlineLevel="0" collapsed="false">
      <c r="A224" s="160" t="s">
        <v>275</v>
      </c>
      <c r="B224" s="160" t="s">
        <v>276</v>
      </c>
      <c r="C224" s="160" t="s">
        <v>432</v>
      </c>
      <c r="D224" s="160" t="s">
        <v>433</v>
      </c>
      <c r="E224" s="160" t="n">
        <v>620009148</v>
      </c>
      <c r="F224" s="161" t="n">
        <v>763</v>
      </c>
      <c r="G224" s="161" t="n">
        <v>667</v>
      </c>
      <c r="J224" s="156" t="n">
        <v>1013.20790216369</v>
      </c>
    </row>
    <row r="225" customFormat="false" ht="13.5" hidden="false" customHeight="false" outlineLevel="0" collapsed="false">
      <c r="A225" s="160" t="s">
        <v>275</v>
      </c>
      <c r="B225" s="160" t="s">
        <v>276</v>
      </c>
      <c r="C225" s="160" t="s">
        <v>442</v>
      </c>
      <c r="D225" s="160" t="s">
        <v>433</v>
      </c>
      <c r="E225" s="160" t="n">
        <v>620007403</v>
      </c>
      <c r="F225" s="161" t="n">
        <v>446</v>
      </c>
      <c r="G225" s="161" t="n">
        <v>244</v>
      </c>
      <c r="J225" s="156" t="n">
        <v>1013.20790216369</v>
      </c>
    </row>
    <row r="226" customFormat="false" ht="13.5" hidden="false" customHeight="false" outlineLevel="0" collapsed="false">
      <c r="A226" s="160" t="s">
        <v>275</v>
      </c>
      <c r="B226" s="160" t="s">
        <v>276</v>
      </c>
      <c r="C226" s="160" t="s">
        <v>434</v>
      </c>
      <c r="D226" s="160" t="s">
        <v>433</v>
      </c>
      <c r="E226" s="160" t="n">
        <v>620008981</v>
      </c>
      <c r="F226" s="161" t="n">
        <v>626</v>
      </c>
      <c r="G226" s="161" t="n">
        <v>446</v>
      </c>
      <c r="J226" s="156" t="n">
        <v>1013.20790216369</v>
      </c>
    </row>
    <row r="227" customFormat="false" ht="13.5" hidden="false" customHeight="false" outlineLevel="0" collapsed="false">
      <c r="A227" s="160" t="s">
        <v>275</v>
      </c>
      <c r="B227" s="160" t="s">
        <v>276</v>
      </c>
      <c r="C227" s="160" t="s">
        <v>444</v>
      </c>
      <c r="D227" s="160" t="s">
        <v>433</v>
      </c>
      <c r="E227" s="160" t="n">
        <v>620007205</v>
      </c>
      <c r="F227" s="161" t="n">
        <v>301</v>
      </c>
      <c r="G227" s="161" t="n">
        <v>245</v>
      </c>
      <c r="J227" s="156" t="n">
        <v>1013.20790216369</v>
      </c>
    </row>
    <row r="228" customFormat="false" ht="13.5" hidden="false" customHeight="false" outlineLevel="0" collapsed="false">
      <c r="A228" s="160" t="s">
        <v>275</v>
      </c>
      <c r="B228" s="160" t="s">
        <v>276</v>
      </c>
      <c r="C228" s="160" t="s">
        <v>444</v>
      </c>
      <c r="D228" s="160" t="s">
        <v>433</v>
      </c>
      <c r="E228" s="160" t="n">
        <v>620009346</v>
      </c>
      <c r="F228" s="161" t="n">
        <v>142</v>
      </c>
      <c r="G228" s="161" t="n">
        <v>67</v>
      </c>
      <c r="J228" s="156" t="n">
        <v>1013.20790216369</v>
      </c>
    </row>
    <row r="229" customFormat="false" ht="13.5" hidden="false" customHeight="false" outlineLevel="0" collapsed="false">
      <c r="A229" s="160" t="s">
        <v>275</v>
      </c>
      <c r="B229" s="160" t="s">
        <v>276</v>
      </c>
      <c r="C229" s="160" t="s">
        <v>415</v>
      </c>
      <c r="D229" s="160" t="s">
        <v>436</v>
      </c>
      <c r="E229" s="160" t="n">
        <v>16201334</v>
      </c>
      <c r="F229" s="161" t="n">
        <v>77.767</v>
      </c>
      <c r="G229" s="161" t="n">
        <v>65.022</v>
      </c>
      <c r="H229" s="155" t="n">
        <v>22.8125</v>
      </c>
      <c r="J229" s="156"/>
    </row>
    <row r="230" customFormat="false" ht="13.5" hidden="false" customHeight="false" outlineLevel="0" collapsed="false">
      <c r="A230" s="160" t="s">
        <v>275</v>
      </c>
      <c r="B230" s="160" t="s">
        <v>276</v>
      </c>
      <c r="C230" s="160" t="s">
        <v>435</v>
      </c>
      <c r="D230" s="160" t="s">
        <v>436</v>
      </c>
      <c r="E230" s="160" t="n">
        <v>15990182</v>
      </c>
      <c r="F230" s="161" t="n">
        <v>139.609</v>
      </c>
      <c r="G230" s="161" t="n">
        <v>111.46</v>
      </c>
      <c r="H230" s="155" t="n">
        <v>22.8125</v>
      </c>
      <c r="J230" s="156"/>
    </row>
    <row r="231" customFormat="false" ht="13.5" hidden="false" customHeight="false" outlineLevel="0" collapsed="false">
      <c r="A231" s="160" t="s">
        <v>275</v>
      </c>
      <c r="B231" s="160" t="s">
        <v>276</v>
      </c>
      <c r="C231" s="160" t="s">
        <v>439</v>
      </c>
      <c r="D231" s="160" t="s">
        <v>436</v>
      </c>
      <c r="E231" s="160" t="n">
        <v>16201337</v>
      </c>
      <c r="F231" s="161" t="n">
        <v>58.845</v>
      </c>
      <c r="G231" s="161" t="n">
        <v>46.086</v>
      </c>
      <c r="H231" s="155" t="n">
        <v>22.8125</v>
      </c>
      <c r="J231" s="156"/>
    </row>
    <row r="232" customFormat="false" ht="13.5" hidden="false" customHeight="false" outlineLevel="0" collapsed="false">
      <c r="A232" s="160" t="s">
        <v>275</v>
      </c>
      <c r="B232" s="160" t="s">
        <v>276</v>
      </c>
      <c r="C232" s="160" t="s">
        <v>435</v>
      </c>
      <c r="D232" s="160" t="s">
        <v>436</v>
      </c>
      <c r="E232" s="160" t="n">
        <v>16201336</v>
      </c>
      <c r="F232" s="161" t="n">
        <v>226.521</v>
      </c>
      <c r="G232" s="161" t="n">
        <v>185.588</v>
      </c>
      <c r="H232" s="155" t="n">
        <v>22.8125</v>
      </c>
      <c r="J232" s="156"/>
    </row>
    <row r="233" customFormat="false" ht="13.5" hidden="false" customHeight="false" outlineLevel="0" collapsed="false">
      <c r="A233" s="160" t="s">
        <v>275</v>
      </c>
      <c r="B233" s="160" t="s">
        <v>276</v>
      </c>
      <c r="C233" s="160" t="s">
        <v>415</v>
      </c>
      <c r="D233" s="160" t="s">
        <v>145</v>
      </c>
      <c r="E233" s="160" t="n">
        <v>16160136</v>
      </c>
      <c r="F233" s="161" t="n">
        <v>36.264</v>
      </c>
      <c r="G233" s="161" t="n">
        <v>29.501</v>
      </c>
      <c r="I233" s="155" t="n">
        <v>15.21</v>
      </c>
      <c r="J233" s="156"/>
    </row>
    <row r="234" customFormat="false" ht="13.5" hidden="false" customHeight="false" outlineLevel="0" collapsed="false">
      <c r="A234" s="160" t="s">
        <v>275</v>
      </c>
      <c r="B234" s="160" t="s">
        <v>276</v>
      </c>
      <c r="C234" s="160" t="s">
        <v>435</v>
      </c>
      <c r="D234" s="160" t="s">
        <v>145</v>
      </c>
      <c r="E234" s="160" t="n">
        <v>16129391</v>
      </c>
      <c r="F234" s="161" t="n">
        <v>69.262</v>
      </c>
      <c r="G234" s="161" t="n">
        <v>57.302</v>
      </c>
      <c r="I234" s="155" t="n">
        <v>15.21</v>
      </c>
      <c r="J234" s="156"/>
    </row>
    <row r="235" customFormat="false" ht="13.5" hidden="false" customHeight="false" outlineLevel="0" collapsed="false">
      <c r="A235" s="160" t="s">
        <v>275</v>
      </c>
      <c r="B235" s="160" t="s">
        <v>276</v>
      </c>
      <c r="C235" s="160" t="s">
        <v>439</v>
      </c>
      <c r="D235" s="160" t="s">
        <v>145</v>
      </c>
      <c r="E235" s="160" t="n">
        <v>16160728</v>
      </c>
      <c r="F235" s="161" t="n">
        <v>8.317</v>
      </c>
      <c r="G235" s="161" t="n">
        <v>6.832</v>
      </c>
      <c r="I235" s="155" t="n">
        <v>15.21</v>
      </c>
      <c r="J235" s="156"/>
    </row>
    <row r="236" customFormat="false" ht="13.5" hidden="false" customHeight="false" outlineLevel="0" collapsed="false">
      <c r="A236" s="160" t="s">
        <v>275</v>
      </c>
      <c r="B236" s="160" t="s">
        <v>276</v>
      </c>
      <c r="C236" s="160" t="s">
        <v>435</v>
      </c>
      <c r="D236" s="160" t="s">
        <v>145</v>
      </c>
      <c r="E236" s="160" t="n">
        <v>16160723</v>
      </c>
      <c r="F236" s="161" t="n">
        <v>99.178</v>
      </c>
      <c r="G236" s="161" t="n">
        <v>81.596</v>
      </c>
      <c r="I236" s="155" t="n">
        <v>15.21</v>
      </c>
      <c r="J236" s="156"/>
    </row>
    <row r="237" customFormat="false" ht="13.5" hidden="false" customHeight="false" outlineLevel="0" collapsed="false">
      <c r="A237" s="160" t="s">
        <v>278</v>
      </c>
      <c r="B237" s="160" t="s">
        <v>279</v>
      </c>
      <c r="C237" s="160" t="s">
        <v>432</v>
      </c>
      <c r="D237" s="160" t="s">
        <v>433</v>
      </c>
      <c r="E237" s="160" t="n">
        <v>548619801</v>
      </c>
      <c r="F237" s="161" t="n">
        <v>530</v>
      </c>
      <c r="G237" s="161" t="n">
        <v>525</v>
      </c>
      <c r="J237" s="156" t="n">
        <v>1857.54782063343</v>
      </c>
    </row>
    <row r="238" customFormat="false" ht="13.5" hidden="false" customHeight="false" outlineLevel="0" collapsed="false">
      <c r="A238" s="160" t="s">
        <v>278</v>
      </c>
      <c r="B238" s="160" t="s">
        <v>279</v>
      </c>
      <c r="C238" s="160" t="s">
        <v>432</v>
      </c>
      <c r="D238" s="160" t="s">
        <v>433</v>
      </c>
      <c r="E238" s="160" t="n">
        <v>548619627</v>
      </c>
      <c r="F238" s="161" t="n">
        <v>524</v>
      </c>
      <c r="G238" s="161" t="n">
        <v>494</v>
      </c>
      <c r="J238" s="156" t="n">
        <v>1857.54782063343</v>
      </c>
    </row>
    <row r="239" customFormat="false" ht="13.5" hidden="false" customHeight="false" outlineLevel="0" collapsed="false">
      <c r="A239" s="160" t="s">
        <v>278</v>
      </c>
      <c r="B239" s="160" t="s">
        <v>279</v>
      </c>
      <c r="C239" s="160" t="s">
        <v>435</v>
      </c>
      <c r="D239" s="160" t="s">
        <v>433</v>
      </c>
      <c r="E239" s="160" t="n">
        <v>548619764</v>
      </c>
      <c r="F239" s="161" t="n">
        <v>0</v>
      </c>
      <c r="G239" s="161" t="n">
        <v>0</v>
      </c>
      <c r="J239" s="156" t="n">
        <v>1857.54782063343</v>
      </c>
    </row>
    <row r="240" customFormat="false" ht="13.5" hidden="false" customHeight="false" outlineLevel="0" collapsed="false">
      <c r="A240" s="160" t="s">
        <v>278</v>
      </c>
      <c r="B240" s="160" t="s">
        <v>279</v>
      </c>
      <c r="C240" s="160" t="s">
        <v>435</v>
      </c>
      <c r="D240" s="160" t="s">
        <v>436</v>
      </c>
      <c r="E240" s="160" t="n">
        <v>16200461</v>
      </c>
      <c r="F240" s="161" t="n">
        <v>83.271</v>
      </c>
      <c r="G240" s="161" t="n">
        <v>67.64</v>
      </c>
      <c r="H240" s="155" t="n">
        <v>83.645</v>
      </c>
      <c r="J240" s="156"/>
    </row>
    <row r="241" customFormat="false" ht="13.5" hidden="false" customHeight="false" outlineLevel="0" collapsed="false">
      <c r="A241" s="160" t="s">
        <v>278</v>
      </c>
      <c r="B241" s="160" t="s">
        <v>279</v>
      </c>
      <c r="C241" s="160" t="s">
        <v>435</v>
      </c>
      <c r="D241" s="160" t="s">
        <v>145</v>
      </c>
      <c r="E241" s="160" t="n">
        <v>16160968</v>
      </c>
      <c r="F241" s="161" t="n">
        <v>34.154</v>
      </c>
      <c r="G241" s="161" t="n">
        <v>26.031</v>
      </c>
      <c r="I241" s="155" t="n">
        <v>27.8833333333333</v>
      </c>
      <c r="J241" s="156"/>
    </row>
    <row r="242" customFormat="false" ht="13.5" hidden="false" customHeight="false" outlineLevel="0" collapsed="false">
      <c r="A242" s="160" t="s">
        <v>281</v>
      </c>
      <c r="B242" s="160" t="s">
        <v>282</v>
      </c>
      <c r="C242" s="160" t="s">
        <v>432</v>
      </c>
      <c r="D242" s="160" t="s">
        <v>433</v>
      </c>
      <c r="E242" s="160" t="n">
        <v>548619955</v>
      </c>
      <c r="F242" s="161" t="n">
        <v>99</v>
      </c>
      <c r="G242" s="161" t="n">
        <v>79</v>
      </c>
      <c r="J242" s="156" t="n">
        <v>2026.41580432738</v>
      </c>
    </row>
    <row r="243" customFormat="false" ht="13.5" hidden="false" customHeight="false" outlineLevel="0" collapsed="false">
      <c r="A243" s="160" t="s">
        <v>281</v>
      </c>
      <c r="B243" s="160" t="s">
        <v>282</v>
      </c>
      <c r="C243" s="160" t="s">
        <v>435</v>
      </c>
      <c r="D243" s="160" t="s">
        <v>433</v>
      </c>
      <c r="E243" s="160" t="n">
        <v>607269763</v>
      </c>
      <c r="F243" s="161" t="n">
        <v>242</v>
      </c>
      <c r="G243" s="161" t="n">
        <v>378</v>
      </c>
      <c r="J243" s="156" t="n">
        <v>2026.41580432738</v>
      </c>
    </row>
    <row r="244" customFormat="false" ht="13.5" hidden="false" customHeight="false" outlineLevel="0" collapsed="false">
      <c r="A244" s="160" t="s">
        <v>281</v>
      </c>
      <c r="B244" s="160" t="s">
        <v>282</v>
      </c>
      <c r="C244" s="160" t="s">
        <v>432</v>
      </c>
      <c r="D244" s="160" t="s">
        <v>433</v>
      </c>
      <c r="E244" s="160" t="n">
        <v>548620715</v>
      </c>
      <c r="F244" s="161" t="n">
        <v>367</v>
      </c>
      <c r="G244" s="161" t="n">
        <v>566</v>
      </c>
      <c r="J244" s="156" t="n">
        <v>2026.41580432738</v>
      </c>
    </row>
    <row r="245" customFormat="false" ht="13.5" hidden="false" customHeight="false" outlineLevel="0" collapsed="false">
      <c r="A245" s="160" t="s">
        <v>281</v>
      </c>
      <c r="B245" s="160" t="s">
        <v>282</v>
      </c>
      <c r="C245" s="160" t="s">
        <v>435</v>
      </c>
      <c r="D245" s="160" t="s">
        <v>436</v>
      </c>
      <c r="E245" s="160" t="n">
        <v>16128918</v>
      </c>
      <c r="F245" s="161" t="n">
        <v>147.507</v>
      </c>
      <c r="G245" s="161" t="n">
        <v>134.41</v>
      </c>
      <c r="H245" s="155" t="n">
        <v>45.25</v>
      </c>
      <c r="J245" s="156"/>
    </row>
    <row r="246" customFormat="false" ht="13.5" hidden="false" customHeight="false" outlineLevel="0" collapsed="false">
      <c r="A246" s="160" t="s">
        <v>281</v>
      </c>
      <c r="B246" s="160" t="s">
        <v>282</v>
      </c>
      <c r="C246" s="160" t="s">
        <v>435</v>
      </c>
      <c r="D246" s="160" t="s">
        <v>145</v>
      </c>
      <c r="E246" s="160" t="n">
        <v>15997866</v>
      </c>
      <c r="F246" s="161" t="n">
        <v>69.792</v>
      </c>
      <c r="G246" s="161" t="n">
        <v>62.81</v>
      </c>
      <c r="I246" s="155" t="n">
        <v>15.0833333333333</v>
      </c>
      <c r="J246" s="156"/>
    </row>
    <row r="247" customFormat="false" ht="13.5" hidden="false" customHeight="false" outlineLevel="0" collapsed="false">
      <c r="A247" s="160" t="s">
        <v>284</v>
      </c>
      <c r="B247" s="160" t="s">
        <v>282</v>
      </c>
      <c r="C247" s="160" t="s">
        <v>432</v>
      </c>
      <c r="D247" s="160" t="s">
        <v>433</v>
      </c>
      <c r="E247" s="160" t="s">
        <v>447</v>
      </c>
      <c r="F247" s="161" t="n">
        <v>456</v>
      </c>
      <c r="G247" s="161"/>
      <c r="J247" s="156" t="n">
        <v>675.471934775792</v>
      </c>
    </row>
    <row r="248" customFormat="false" ht="13.5" hidden="false" customHeight="false" outlineLevel="0" collapsed="false">
      <c r="A248" s="160" t="s">
        <v>284</v>
      </c>
      <c r="B248" s="160" t="s">
        <v>282</v>
      </c>
      <c r="C248" s="160" t="s">
        <v>435</v>
      </c>
      <c r="D248" s="160" t="s">
        <v>433</v>
      </c>
      <c r="E248" s="160" t="s">
        <v>448</v>
      </c>
      <c r="F248" s="161" t="n">
        <v>9</v>
      </c>
      <c r="G248" s="161"/>
      <c r="J248" s="156" t="n">
        <v>675.471934775792</v>
      </c>
    </row>
    <row r="249" customFormat="false" ht="13.5" hidden="false" customHeight="false" outlineLevel="0" collapsed="false">
      <c r="A249" s="160" t="s">
        <v>284</v>
      </c>
      <c r="B249" s="160" t="s">
        <v>282</v>
      </c>
      <c r="C249" s="160" t="s">
        <v>432</v>
      </c>
      <c r="D249" s="160" t="s">
        <v>433</v>
      </c>
      <c r="E249" s="160" t="s">
        <v>449</v>
      </c>
      <c r="F249" s="161" t="n">
        <v>273</v>
      </c>
      <c r="G249" s="161"/>
      <c r="J249" s="156" t="n">
        <v>675.471934775792</v>
      </c>
    </row>
    <row r="250" customFormat="false" ht="13.5" hidden="false" customHeight="false" outlineLevel="0" collapsed="false">
      <c r="A250" s="160" t="s">
        <v>284</v>
      </c>
      <c r="B250" s="160" t="s">
        <v>282</v>
      </c>
      <c r="C250" s="160" t="s">
        <v>435</v>
      </c>
      <c r="D250" s="160" t="s">
        <v>436</v>
      </c>
      <c r="E250" s="160" t="s">
        <v>450</v>
      </c>
      <c r="F250" s="161" t="n">
        <v>161.463</v>
      </c>
      <c r="G250" s="161" t="n">
        <v>147.507</v>
      </c>
      <c r="H250" s="155" t="n">
        <v>30.67</v>
      </c>
      <c r="J250" s="156"/>
    </row>
    <row r="251" customFormat="false" ht="13.5" hidden="false" customHeight="false" outlineLevel="0" collapsed="false">
      <c r="A251" s="160" t="s">
        <v>284</v>
      </c>
      <c r="B251" s="160" t="s">
        <v>282</v>
      </c>
      <c r="C251" s="160" t="s">
        <v>435</v>
      </c>
      <c r="D251" s="160" t="s">
        <v>145</v>
      </c>
      <c r="E251" s="160" t="s">
        <v>451</v>
      </c>
      <c r="F251" s="161" t="n">
        <v>76.198</v>
      </c>
      <c r="G251" s="161" t="n">
        <v>69.792</v>
      </c>
      <c r="I251" s="155" t="n">
        <v>5.11</v>
      </c>
      <c r="J251" s="156"/>
    </row>
    <row r="252" customFormat="false" ht="13.5" hidden="false" customHeight="false" outlineLevel="0" collapsed="false">
      <c r="A252" s="160" t="s">
        <v>286</v>
      </c>
      <c r="B252" s="160" t="s">
        <v>287</v>
      </c>
      <c r="C252" s="160" t="s">
        <v>435</v>
      </c>
      <c r="D252" s="160" t="s">
        <v>433</v>
      </c>
      <c r="E252" s="160" t="n">
        <v>607269770</v>
      </c>
      <c r="F252" s="161" t="n">
        <v>438</v>
      </c>
      <c r="G252" s="161" t="n">
        <v>1599</v>
      </c>
      <c r="J252" s="156" t="n">
        <v>675.471934775792</v>
      </c>
    </row>
    <row r="253" customFormat="false" ht="13.5" hidden="false" customHeight="false" outlineLevel="0" collapsed="false">
      <c r="A253" s="160" t="s">
        <v>286</v>
      </c>
      <c r="B253" s="160" t="s">
        <v>287</v>
      </c>
      <c r="C253" s="160" t="s">
        <v>434</v>
      </c>
      <c r="D253" s="160" t="s">
        <v>433</v>
      </c>
      <c r="E253" s="160" t="n">
        <v>548619665</v>
      </c>
      <c r="F253" s="161" t="n">
        <v>418</v>
      </c>
      <c r="G253" s="161" t="n">
        <v>1707</v>
      </c>
      <c r="J253" s="156" t="n">
        <v>675.471934775792</v>
      </c>
    </row>
    <row r="254" customFormat="false" ht="13.5" hidden="false" customHeight="false" outlineLevel="0" collapsed="false">
      <c r="A254" s="160" t="s">
        <v>286</v>
      </c>
      <c r="B254" s="160" t="s">
        <v>287</v>
      </c>
      <c r="C254" s="160" t="s">
        <v>438</v>
      </c>
      <c r="D254" s="160" t="s">
        <v>433</v>
      </c>
      <c r="E254" s="160" t="n">
        <v>548619740</v>
      </c>
      <c r="F254" s="161" t="n">
        <v>234</v>
      </c>
      <c r="G254" s="161" t="n">
        <v>990</v>
      </c>
      <c r="J254" s="156" t="n">
        <v>675.471934775792</v>
      </c>
    </row>
    <row r="255" customFormat="false" ht="13.5" hidden="false" customHeight="false" outlineLevel="0" collapsed="false">
      <c r="A255" s="160" t="s">
        <v>286</v>
      </c>
      <c r="B255" s="160" t="s">
        <v>287</v>
      </c>
      <c r="C255" s="160" t="s">
        <v>452</v>
      </c>
      <c r="D255" s="160" t="s">
        <v>433</v>
      </c>
      <c r="E255" s="160" t="n">
        <v>548619788</v>
      </c>
      <c r="F255" s="161" t="n">
        <v>206</v>
      </c>
      <c r="G255" s="161" t="n">
        <v>557</v>
      </c>
      <c r="J255" s="156" t="n">
        <v>675.471934775792</v>
      </c>
    </row>
    <row r="256" customFormat="false" ht="13.5" hidden="false" customHeight="false" outlineLevel="0" collapsed="false">
      <c r="A256" s="160" t="s">
        <v>286</v>
      </c>
      <c r="B256" s="160" t="s">
        <v>287</v>
      </c>
      <c r="C256" s="160" t="s">
        <v>432</v>
      </c>
      <c r="D256" s="160" t="s">
        <v>433</v>
      </c>
      <c r="E256" s="160" t="n">
        <v>607268391</v>
      </c>
      <c r="F256" s="161" t="n">
        <v>497</v>
      </c>
      <c r="G256" s="161" t="n">
        <v>2176</v>
      </c>
      <c r="J256" s="156" t="n">
        <v>675.471934775792</v>
      </c>
    </row>
    <row r="257" customFormat="false" ht="13.5" hidden="false" customHeight="false" outlineLevel="0" collapsed="false">
      <c r="A257" s="160" t="s">
        <v>286</v>
      </c>
      <c r="B257" s="160" t="s">
        <v>287</v>
      </c>
      <c r="C257" s="160" t="s">
        <v>435</v>
      </c>
      <c r="D257" s="160" t="s">
        <v>433</v>
      </c>
      <c r="E257" s="160" t="n">
        <v>548619641</v>
      </c>
      <c r="F257" s="161" t="n">
        <v>112</v>
      </c>
      <c r="G257" s="161" t="n">
        <v>409</v>
      </c>
      <c r="J257" s="156" t="n">
        <v>675.471934775792</v>
      </c>
    </row>
    <row r="258" customFormat="false" ht="13.5" hidden="false" customHeight="false" outlineLevel="0" collapsed="false">
      <c r="A258" s="160" t="s">
        <v>286</v>
      </c>
      <c r="B258" s="160" t="s">
        <v>287</v>
      </c>
      <c r="C258" s="160" t="s">
        <v>415</v>
      </c>
      <c r="D258" s="160" t="s">
        <v>433</v>
      </c>
      <c r="E258" s="160" t="n">
        <v>611095570</v>
      </c>
      <c r="F258" s="161" t="n">
        <v>616</v>
      </c>
      <c r="G258" s="161" t="n">
        <v>1971</v>
      </c>
      <c r="J258" s="156" t="n">
        <v>675.471934775792</v>
      </c>
    </row>
    <row r="259" customFormat="false" ht="13.5" hidden="false" customHeight="false" outlineLevel="0" collapsed="false">
      <c r="A259" s="160" t="s">
        <v>286</v>
      </c>
      <c r="B259" s="160" t="s">
        <v>287</v>
      </c>
      <c r="C259" s="160" t="s">
        <v>432</v>
      </c>
      <c r="D259" s="160" t="s">
        <v>433</v>
      </c>
      <c r="E259" s="160" t="n">
        <v>607268698</v>
      </c>
      <c r="F259" s="161" t="n">
        <v>505</v>
      </c>
      <c r="G259" s="161" t="n">
        <v>2398</v>
      </c>
      <c r="J259" s="156" t="n">
        <v>675.471934775792</v>
      </c>
    </row>
    <row r="260" customFormat="false" ht="13.5" hidden="false" customHeight="false" outlineLevel="0" collapsed="false">
      <c r="A260" s="160" t="s">
        <v>286</v>
      </c>
      <c r="B260" s="160" t="s">
        <v>287</v>
      </c>
      <c r="C260" s="160" t="s">
        <v>438</v>
      </c>
      <c r="D260" s="160" t="s">
        <v>433</v>
      </c>
      <c r="E260" s="160" t="n">
        <v>548619726</v>
      </c>
      <c r="F260" s="161" t="n">
        <v>229</v>
      </c>
      <c r="G260" s="161" t="n">
        <v>1041</v>
      </c>
      <c r="J260" s="156" t="n">
        <v>675.471934775792</v>
      </c>
    </row>
    <row r="261" customFormat="false" ht="13.5" hidden="false" customHeight="false" outlineLevel="0" collapsed="false">
      <c r="A261" s="160" t="s">
        <v>286</v>
      </c>
      <c r="B261" s="160" t="s">
        <v>287</v>
      </c>
      <c r="C261" s="160" t="s">
        <v>453</v>
      </c>
      <c r="D261" s="160" t="s">
        <v>433</v>
      </c>
      <c r="E261" s="160" t="n">
        <v>607269695</v>
      </c>
      <c r="F261" s="161" t="n">
        <v>409</v>
      </c>
      <c r="G261" s="161" t="n">
        <v>1453</v>
      </c>
      <c r="J261" s="156" t="n">
        <v>675.471934775792</v>
      </c>
    </row>
    <row r="262" customFormat="false" ht="13.5" hidden="false" customHeight="false" outlineLevel="0" collapsed="false">
      <c r="A262" s="160" t="s">
        <v>286</v>
      </c>
      <c r="B262" s="160" t="s">
        <v>287</v>
      </c>
      <c r="C262" s="160" t="s">
        <v>435</v>
      </c>
      <c r="D262" s="160" t="s">
        <v>436</v>
      </c>
      <c r="E262" s="160" t="n">
        <v>16201332</v>
      </c>
      <c r="F262" s="161" t="n">
        <v>37.627</v>
      </c>
      <c r="G262" s="161" t="n">
        <v>36.445</v>
      </c>
      <c r="H262" s="155" t="n">
        <v>7.5</v>
      </c>
      <c r="J262" s="156"/>
    </row>
    <row r="263" customFormat="false" ht="13.5" hidden="false" customHeight="false" outlineLevel="0" collapsed="false">
      <c r="A263" s="160" t="s">
        <v>286</v>
      </c>
      <c r="B263" s="160" t="s">
        <v>287</v>
      </c>
      <c r="C263" s="160" t="s">
        <v>435</v>
      </c>
      <c r="D263" s="160" t="s">
        <v>436</v>
      </c>
      <c r="E263" s="160" t="n">
        <v>16201330</v>
      </c>
      <c r="F263" s="161" t="n">
        <v>77.641</v>
      </c>
      <c r="G263" s="161" t="n">
        <v>75.757</v>
      </c>
      <c r="H263" s="155" t="n">
        <v>7.5</v>
      </c>
      <c r="J263" s="156"/>
    </row>
    <row r="264" customFormat="false" ht="13.5" hidden="false" customHeight="false" outlineLevel="0" collapsed="false">
      <c r="A264" s="160" t="s">
        <v>286</v>
      </c>
      <c r="B264" s="160" t="s">
        <v>287</v>
      </c>
      <c r="C264" s="160" t="s">
        <v>435</v>
      </c>
      <c r="D264" s="160" t="s">
        <v>145</v>
      </c>
      <c r="E264" s="160" t="n">
        <v>16160299</v>
      </c>
      <c r="F264" s="161" t="n">
        <v>22.74</v>
      </c>
      <c r="G264" s="161" t="n">
        <v>21.538</v>
      </c>
      <c r="I264" s="155" t="n">
        <v>2.5</v>
      </c>
      <c r="J264" s="156"/>
    </row>
    <row r="265" customFormat="false" ht="13.5" hidden="false" customHeight="false" outlineLevel="0" collapsed="false">
      <c r="A265" s="160" t="s">
        <v>286</v>
      </c>
      <c r="B265" s="160" t="s">
        <v>287</v>
      </c>
      <c r="C265" s="160" t="s">
        <v>435</v>
      </c>
      <c r="D265" s="160" t="s">
        <v>145</v>
      </c>
      <c r="E265" s="160" t="n">
        <v>16160139</v>
      </c>
      <c r="F265" s="161" t="n">
        <v>45.31</v>
      </c>
      <c r="G265" s="161" t="n">
        <v>44.057</v>
      </c>
      <c r="I265" s="155" t="n">
        <v>2.5</v>
      </c>
      <c r="J265" s="156"/>
    </row>
    <row r="266" customFormat="false" ht="13.5" hidden="false" customHeight="false" outlineLevel="0" collapsed="false">
      <c r="A266" s="160" t="s">
        <v>289</v>
      </c>
      <c r="B266" s="160" t="s">
        <v>287</v>
      </c>
      <c r="C266" s="160" t="s">
        <v>435</v>
      </c>
      <c r="D266" s="160" t="s">
        <v>433</v>
      </c>
      <c r="E266" s="160" t="n">
        <v>607269770</v>
      </c>
      <c r="F266" s="161" t="n">
        <v>19</v>
      </c>
      <c r="G266" s="161"/>
      <c r="J266" s="156" t="n">
        <v>1013.20790216369</v>
      </c>
    </row>
    <row r="267" customFormat="false" ht="13.5" hidden="false" customHeight="false" outlineLevel="0" collapsed="false">
      <c r="A267" s="160" t="s">
        <v>289</v>
      </c>
      <c r="B267" s="160" t="s">
        <v>287</v>
      </c>
      <c r="C267" s="160" t="s">
        <v>434</v>
      </c>
      <c r="D267" s="160" t="s">
        <v>433</v>
      </c>
      <c r="E267" s="160" t="n">
        <v>548619665</v>
      </c>
      <c r="F267" s="161" t="n">
        <v>603</v>
      </c>
      <c r="G267" s="161" t="n">
        <v>418</v>
      </c>
      <c r="J267" s="156" t="n">
        <v>1013.20790216369</v>
      </c>
    </row>
    <row r="268" customFormat="false" ht="13.5" hidden="false" customHeight="false" outlineLevel="0" collapsed="false">
      <c r="A268" s="160" t="s">
        <v>289</v>
      </c>
      <c r="B268" s="160" t="s">
        <v>287</v>
      </c>
      <c r="C268" s="160" t="s">
        <v>438</v>
      </c>
      <c r="D268" s="160" t="s">
        <v>433</v>
      </c>
      <c r="E268" s="160"/>
      <c r="F268" s="161" t="n">
        <v>317</v>
      </c>
      <c r="G268" s="161"/>
      <c r="J268" s="156" t="n">
        <v>1013.20790216369</v>
      </c>
    </row>
    <row r="269" customFormat="false" ht="13.5" hidden="false" customHeight="false" outlineLevel="0" collapsed="false">
      <c r="A269" s="160" t="s">
        <v>289</v>
      </c>
      <c r="B269" s="160" t="s">
        <v>287</v>
      </c>
      <c r="C269" s="160" t="s">
        <v>452</v>
      </c>
      <c r="D269" s="160" t="s">
        <v>433</v>
      </c>
      <c r="E269" s="160"/>
      <c r="F269" s="161" t="n">
        <v>378</v>
      </c>
      <c r="G269" s="161"/>
      <c r="J269" s="156" t="n">
        <v>1013.20790216369</v>
      </c>
    </row>
    <row r="270" customFormat="false" ht="13.5" hidden="false" customHeight="false" outlineLevel="0" collapsed="false">
      <c r="A270" s="160" t="s">
        <v>289</v>
      </c>
      <c r="B270" s="160" t="s">
        <v>287</v>
      </c>
      <c r="C270" s="160" t="s">
        <v>432</v>
      </c>
      <c r="D270" s="160" t="s">
        <v>433</v>
      </c>
      <c r="E270" s="160"/>
      <c r="F270" s="161" t="n">
        <v>1231</v>
      </c>
      <c r="G270" s="161"/>
      <c r="J270" s="156" t="n">
        <v>1013.20790216369</v>
      </c>
    </row>
    <row r="271" s="162" customFormat="true" ht="13.5" hidden="false" customHeight="false" outlineLevel="0" collapsed="false">
      <c r="A271" s="160" t="s">
        <v>289</v>
      </c>
      <c r="B271" s="160" t="s">
        <v>287</v>
      </c>
      <c r="C271" s="160" t="s">
        <v>435</v>
      </c>
      <c r="D271" s="160" t="s">
        <v>433</v>
      </c>
      <c r="E271" s="160"/>
      <c r="F271" s="161" t="n">
        <v>177</v>
      </c>
      <c r="G271" s="161"/>
      <c r="H271" s="155"/>
      <c r="I271" s="155"/>
      <c r="J271" s="156" t="n">
        <v>1013.20790216369</v>
      </c>
    </row>
    <row r="272" customFormat="false" ht="13.5" hidden="false" customHeight="false" outlineLevel="0" collapsed="false">
      <c r="A272" s="160" t="s">
        <v>289</v>
      </c>
      <c r="B272" s="160" t="s">
        <v>287</v>
      </c>
      <c r="C272" s="160" t="s">
        <v>415</v>
      </c>
      <c r="D272" s="160" t="s">
        <v>433</v>
      </c>
      <c r="E272" s="160"/>
      <c r="F272" s="161" t="n">
        <v>714</v>
      </c>
      <c r="G272" s="161"/>
      <c r="J272" s="156" t="n">
        <v>1013.20790216369</v>
      </c>
    </row>
    <row r="273" s="162" customFormat="true" ht="13.5" hidden="false" customHeight="false" outlineLevel="0" collapsed="false">
      <c r="A273" s="160" t="s">
        <v>289</v>
      </c>
      <c r="B273" s="160" t="s">
        <v>287</v>
      </c>
      <c r="C273" s="160" t="s">
        <v>432</v>
      </c>
      <c r="D273" s="160" t="s">
        <v>433</v>
      </c>
      <c r="E273" s="160"/>
      <c r="F273" s="161" t="n">
        <v>1031</v>
      </c>
      <c r="G273" s="161"/>
      <c r="H273" s="155"/>
      <c r="I273" s="155"/>
      <c r="J273" s="156" t="n">
        <v>1013.20790216369</v>
      </c>
    </row>
    <row r="274" customFormat="false" ht="13.5" hidden="false" customHeight="false" outlineLevel="0" collapsed="false">
      <c r="A274" s="160" t="s">
        <v>289</v>
      </c>
      <c r="B274" s="160" t="s">
        <v>287</v>
      </c>
      <c r="C274" s="160" t="s">
        <v>438</v>
      </c>
      <c r="D274" s="160" t="s">
        <v>433</v>
      </c>
      <c r="E274" s="160"/>
      <c r="F274" s="161" t="n">
        <v>347</v>
      </c>
      <c r="G274" s="161"/>
      <c r="J274" s="156" t="n">
        <v>1013.20790216369</v>
      </c>
    </row>
    <row r="275" s="162" customFormat="true" ht="13.5" hidden="false" customHeight="false" outlineLevel="0" collapsed="false">
      <c r="A275" s="160" t="s">
        <v>289</v>
      </c>
      <c r="B275" s="160" t="s">
        <v>287</v>
      </c>
      <c r="C275" s="160" t="s">
        <v>453</v>
      </c>
      <c r="D275" s="160" t="s">
        <v>433</v>
      </c>
      <c r="E275" s="160"/>
      <c r="F275" s="161" t="n">
        <v>1509</v>
      </c>
      <c r="G275" s="161"/>
      <c r="H275" s="155"/>
      <c r="I275" s="155"/>
      <c r="J275" s="156" t="n">
        <v>1013.20790216369</v>
      </c>
    </row>
    <row r="276" customFormat="false" ht="13.5" hidden="false" customHeight="false" outlineLevel="0" collapsed="false">
      <c r="A276" s="160" t="s">
        <v>289</v>
      </c>
      <c r="B276" s="160" t="s">
        <v>287</v>
      </c>
      <c r="C276" s="160" t="s">
        <v>435</v>
      </c>
      <c r="D276" s="160" t="s">
        <v>436</v>
      </c>
      <c r="E276" s="160"/>
      <c r="F276" s="161" t="n">
        <v>69.245</v>
      </c>
      <c r="G276" s="161" t="n">
        <v>37.627</v>
      </c>
      <c r="H276" s="155" t="n">
        <v>34.375</v>
      </c>
      <c r="J276" s="156"/>
    </row>
    <row r="277" s="162" customFormat="true" ht="13.5" hidden="false" customHeight="false" outlineLevel="0" collapsed="false">
      <c r="A277" s="160" t="s">
        <v>289</v>
      </c>
      <c r="B277" s="160" t="s">
        <v>287</v>
      </c>
      <c r="C277" s="160" t="s">
        <v>435</v>
      </c>
      <c r="D277" s="160" t="s">
        <v>436</v>
      </c>
      <c r="E277" s="160"/>
      <c r="F277" s="161" t="n">
        <v>89.437</v>
      </c>
      <c r="G277" s="161" t="n">
        <v>77.641</v>
      </c>
      <c r="H277" s="155" t="n">
        <v>34.375</v>
      </c>
      <c r="I277" s="155"/>
      <c r="J277" s="156"/>
    </row>
    <row r="278" customFormat="false" ht="13.5" hidden="false" customHeight="false" outlineLevel="0" collapsed="false">
      <c r="A278" s="160" t="s">
        <v>289</v>
      </c>
      <c r="B278" s="160" t="s">
        <v>287</v>
      </c>
      <c r="C278" s="160" t="s">
        <v>435</v>
      </c>
      <c r="D278" s="160" t="s">
        <v>145</v>
      </c>
      <c r="E278" s="160"/>
      <c r="F278" s="161" t="n">
        <v>32.421</v>
      </c>
      <c r="G278" s="161" t="n">
        <v>22.74</v>
      </c>
      <c r="I278" s="155" t="n">
        <v>11.46</v>
      </c>
      <c r="J278" s="156"/>
    </row>
    <row r="279" s="162" customFormat="true" ht="13.5" hidden="false" customHeight="false" outlineLevel="0" collapsed="false">
      <c r="A279" s="160" t="s">
        <v>289</v>
      </c>
      <c r="B279" s="160" t="s">
        <v>287</v>
      </c>
      <c r="C279" s="160" t="s">
        <v>435</v>
      </c>
      <c r="D279" s="160" t="s">
        <v>145</v>
      </c>
      <c r="E279" s="160"/>
      <c r="F279" s="161" t="n">
        <v>49.689</v>
      </c>
      <c r="G279" s="161" t="n">
        <v>45.31</v>
      </c>
      <c r="H279" s="155"/>
      <c r="I279" s="155" t="n">
        <v>11.46</v>
      </c>
      <c r="J279" s="156"/>
    </row>
    <row r="280" customFormat="false" ht="13.5" hidden="false" customHeight="false" outlineLevel="0" collapsed="false">
      <c r="A280" s="160" t="s">
        <v>292</v>
      </c>
      <c r="B280" s="160" t="s">
        <v>293</v>
      </c>
      <c r="C280" s="160" t="s">
        <v>452</v>
      </c>
      <c r="D280" s="160" t="s">
        <v>433</v>
      </c>
      <c r="E280" s="160" t="n">
        <v>602492449</v>
      </c>
      <c r="F280" s="161" t="n">
        <v>315</v>
      </c>
      <c r="G280" s="161" t="n">
        <v>452</v>
      </c>
      <c r="J280" s="156" t="n">
        <v>675.471934775792</v>
      </c>
    </row>
    <row r="281" customFormat="false" ht="13.5" hidden="false" customHeight="false" outlineLevel="0" collapsed="false">
      <c r="A281" s="160" t="s">
        <v>292</v>
      </c>
      <c r="B281" s="160" t="s">
        <v>293</v>
      </c>
      <c r="C281" s="160" t="s">
        <v>435</v>
      </c>
      <c r="D281" s="160" t="s">
        <v>433</v>
      </c>
      <c r="E281" s="160" t="n">
        <v>602560193</v>
      </c>
      <c r="F281" s="161" t="n">
        <v>620</v>
      </c>
      <c r="G281" s="161" t="n">
        <v>423</v>
      </c>
      <c r="J281" s="156" t="n">
        <v>675.471934775792</v>
      </c>
    </row>
    <row r="282" customFormat="false" ht="13.5" hidden="false" customHeight="false" outlineLevel="0" collapsed="false">
      <c r="A282" s="160" t="s">
        <v>292</v>
      </c>
      <c r="B282" s="160" t="s">
        <v>293</v>
      </c>
      <c r="C282" s="160" t="s">
        <v>441</v>
      </c>
      <c r="D282" s="160" t="s">
        <v>433</v>
      </c>
      <c r="E282" s="160" t="n">
        <v>602492463</v>
      </c>
      <c r="F282" s="161" t="n">
        <v>1847</v>
      </c>
      <c r="G282" s="161" t="n">
        <v>1463</v>
      </c>
      <c r="J282" s="156" t="n">
        <v>675.471934775792</v>
      </c>
    </row>
    <row r="283" customFormat="false" ht="13.5" hidden="false" customHeight="false" outlineLevel="0" collapsed="false">
      <c r="A283" s="160" t="s">
        <v>292</v>
      </c>
      <c r="B283" s="160" t="s">
        <v>293</v>
      </c>
      <c r="C283" s="160" t="s">
        <v>438</v>
      </c>
      <c r="D283" s="160" t="s">
        <v>433</v>
      </c>
      <c r="E283" s="160" t="n">
        <v>602560148</v>
      </c>
      <c r="F283" s="161" t="n">
        <v>1732</v>
      </c>
      <c r="G283" s="161" t="n">
        <v>1575</v>
      </c>
      <c r="J283" s="156" t="n">
        <v>675.471934775792</v>
      </c>
    </row>
    <row r="284" customFormat="false" ht="13.5" hidden="false" customHeight="false" outlineLevel="0" collapsed="false">
      <c r="A284" s="160" t="s">
        <v>292</v>
      </c>
      <c r="B284" s="160" t="s">
        <v>293</v>
      </c>
      <c r="C284" s="160" t="s">
        <v>444</v>
      </c>
      <c r="D284" s="160" t="s">
        <v>433</v>
      </c>
      <c r="E284" s="160" t="n">
        <v>602492302</v>
      </c>
      <c r="F284" s="161" t="n">
        <v>3946</v>
      </c>
      <c r="G284" s="161" t="n">
        <v>3076</v>
      </c>
      <c r="J284" s="156" t="n">
        <v>675.471934775792</v>
      </c>
    </row>
    <row r="285" customFormat="false" ht="13.5" hidden="false" customHeight="false" outlineLevel="0" collapsed="false">
      <c r="A285" s="160" t="s">
        <v>292</v>
      </c>
      <c r="B285" s="160" t="s">
        <v>293</v>
      </c>
      <c r="C285" s="160" t="s">
        <v>434</v>
      </c>
      <c r="D285" s="160" t="s">
        <v>433</v>
      </c>
      <c r="E285" s="160" t="n">
        <v>602492487</v>
      </c>
      <c r="F285" s="161" t="n">
        <v>3753</v>
      </c>
      <c r="G285" s="161" t="n">
        <v>2428</v>
      </c>
      <c r="J285" s="156" t="n">
        <v>675.471934775792</v>
      </c>
    </row>
    <row r="286" customFormat="false" ht="13.5" hidden="false" customHeight="false" outlineLevel="0" collapsed="false">
      <c r="A286" s="160" t="s">
        <v>292</v>
      </c>
      <c r="B286" s="160" t="s">
        <v>293</v>
      </c>
      <c r="C286" s="160" t="s">
        <v>438</v>
      </c>
      <c r="D286" s="160" t="s">
        <v>433</v>
      </c>
      <c r="E286" s="160" t="n">
        <v>602492241</v>
      </c>
      <c r="F286" s="161" t="n">
        <v>499</v>
      </c>
      <c r="G286" s="161" t="n">
        <v>295</v>
      </c>
      <c r="J286" s="156" t="n">
        <v>675.471934775792</v>
      </c>
    </row>
    <row r="287" customFormat="false" ht="13.5" hidden="false" customHeight="false" outlineLevel="0" collapsed="false">
      <c r="A287" s="160" t="s">
        <v>292</v>
      </c>
      <c r="B287" s="160" t="s">
        <v>293</v>
      </c>
      <c r="C287" s="160" t="s">
        <v>439</v>
      </c>
      <c r="D287" s="160" t="s">
        <v>433</v>
      </c>
      <c r="E287" s="160" t="n">
        <v>625280887</v>
      </c>
      <c r="F287" s="161" t="n">
        <v>2331</v>
      </c>
      <c r="G287" s="161" t="n">
        <v>727</v>
      </c>
      <c r="J287" s="156" t="n">
        <v>675.471934775792</v>
      </c>
    </row>
    <row r="288" customFormat="false" ht="13.5" hidden="false" customHeight="false" outlineLevel="0" collapsed="false">
      <c r="A288" s="160" t="s">
        <v>292</v>
      </c>
      <c r="B288" s="160" t="s">
        <v>293</v>
      </c>
      <c r="C288" s="160" t="s">
        <v>415</v>
      </c>
      <c r="D288" s="160" t="s">
        <v>433</v>
      </c>
      <c r="E288" s="160" t="n">
        <v>602492296</v>
      </c>
      <c r="F288" s="161" t="n">
        <v>2778</v>
      </c>
      <c r="G288" s="161" t="n">
        <v>2381</v>
      </c>
      <c r="J288" s="156" t="n">
        <v>675.471934775792</v>
      </c>
    </row>
    <row r="289" customFormat="false" ht="13.5" hidden="false" customHeight="false" outlineLevel="0" collapsed="false">
      <c r="A289" s="160" t="s">
        <v>292</v>
      </c>
      <c r="B289" s="160" t="s">
        <v>293</v>
      </c>
      <c r="C289" s="160" t="s">
        <v>415</v>
      </c>
      <c r="D289" s="160" t="s">
        <v>433</v>
      </c>
      <c r="E289" s="160" t="n">
        <v>602492364</v>
      </c>
      <c r="F289" s="161" t="n">
        <v>2253</v>
      </c>
      <c r="G289" s="161" t="n">
        <v>1984</v>
      </c>
      <c r="J289" s="156" t="n">
        <v>675.471934775792</v>
      </c>
    </row>
    <row r="290" customFormat="false" ht="13.5" hidden="false" customHeight="false" outlineLevel="0" collapsed="false">
      <c r="A290" s="160" t="s">
        <v>292</v>
      </c>
      <c r="B290" s="160" t="s">
        <v>293</v>
      </c>
      <c r="C290" s="160" t="s">
        <v>441</v>
      </c>
      <c r="D290" s="160" t="s">
        <v>433</v>
      </c>
      <c r="E290" s="160" t="n">
        <v>602492326</v>
      </c>
      <c r="F290" s="161" t="n">
        <v>1970</v>
      </c>
      <c r="G290" s="161" t="n">
        <v>1694</v>
      </c>
      <c r="J290" s="156" t="n">
        <v>675.471934775792</v>
      </c>
    </row>
    <row r="291" customFormat="false" ht="13.5" hidden="false" customHeight="false" outlineLevel="0" collapsed="false">
      <c r="A291" s="160" t="s">
        <v>292</v>
      </c>
      <c r="B291" s="160" t="s">
        <v>293</v>
      </c>
      <c r="C291" s="160" t="s">
        <v>415</v>
      </c>
      <c r="D291" s="160" t="s">
        <v>436</v>
      </c>
      <c r="E291" s="160" t="n">
        <v>15990193</v>
      </c>
      <c r="F291" s="161" t="n">
        <v>102.717</v>
      </c>
      <c r="G291" s="161" t="n">
        <v>82.725</v>
      </c>
      <c r="H291" s="155" t="n">
        <v>20.2766666666667</v>
      </c>
      <c r="J291" s="156"/>
    </row>
    <row r="292" customFormat="false" ht="13.5" hidden="false" customHeight="false" outlineLevel="0" collapsed="false">
      <c r="A292" s="160" t="s">
        <v>292</v>
      </c>
      <c r="B292" s="160" t="s">
        <v>293</v>
      </c>
      <c r="C292" s="160" t="s">
        <v>435</v>
      </c>
      <c r="D292" s="160" t="s">
        <v>436</v>
      </c>
      <c r="E292" s="160" t="n">
        <v>15990191</v>
      </c>
      <c r="F292" s="161" t="n">
        <v>221.808</v>
      </c>
      <c r="G292" s="161" t="n">
        <v>183.517</v>
      </c>
      <c r="H292" s="155" t="n">
        <v>20.2766666666667</v>
      </c>
      <c r="J292" s="156"/>
    </row>
    <row r="293" customFormat="false" ht="13.5" hidden="false" customHeight="false" outlineLevel="0" collapsed="false">
      <c r="A293" s="160" t="s">
        <v>292</v>
      </c>
      <c r="B293" s="160" t="s">
        <v>293</v>
      </c>
      <c r="C293" s="160" t="s">
        <v>439</v>
      </c>
      <c r="D293" s="160" t="s">
        <v>436</v>
      </c>
      <c r="E293" s="160" t="n">
        <v>16075862</v>
      </c>
      <c r="F293" s="161" t="n">
        <v>98.069</v>
      </c>
      <c r="G293" s="161" t="n">
        <v>69.535</v>
      </c>
      <c r="H293" s="155" t="n">
        <v>20.2766666666667</v>
      </c>
      <c r="J293" s="156"/>
    </row>
    <row r="294" customFormat="false" ht="13.5" hidden="false" customHeight="false" outlineLevel="0" collapsed="false">
      <c r="A294" s="160" t="s">
        <v>292</v>
      </c>
      <c r="B294" s="160" t="s">
        <v>293</v>
      </c>
      <c r="C294" s="160" t="s">
        <v>415</v>
      </c>
      <c r="D294" s="160" t="s">
        <v>145</v>
      </c>
      <c r="E294" s="160" t="n">
        <v>16129454</v>
      </c>
      <c r="F294" s="161" t="n">
        <v>44.955</v>
      </c>
      <c r="G294" s="161" t="n">
        <v>35.995</v>
      </c>
      <c r="I294" s="155" t="n">
        <v>10.14</v>
      </c>
      <c r="J294" s="156"/>
    </row>
    <row r="295" customFormat="false" ht="13.5" hidden="false" customHeight="false" outlineLevel="0" collapsed="false">
      <c r="A295" s="160" t="s">
        <v>292</v>
      </c>
      <c r="B295" s="160" t="s">
        <v>293</v>
      </c>
      <c r="C295" s="160" t="s">
        <v>435</v>
      </c>
      <c r="D295" s="160" t="s">
        <v>145</v>
      </c>
      <c r="E295" s="160" t="n">
        <v>16129460</v>
      </c>
      <c r="F295" s="161" t="n">
        <v>34.459</v>
      </c>
      <c r="G295" s="161" t="n">
        <v>33.241</v>
      </c>
      <c r="I295" s="155" t="n">
        <v>10.14</v>
      </c>
      <c r="J295" s="156"/>
    </row>
    <row r="296" customFormat="false" ht="13.5" hidden="false" customHeight="false" outlineLevel="0" collapsed="false">
      <c r="A296" s="160" t="s">
        <v>292</v>
      </c>
      <c r="B296" s="160" t="s">
        <v>293</v>
      </c>
      <c r="C296" s="160" t="s">
        <v>439</v>
      </c>
      <c r="D296" s="160" t="s">
        <v>145</v>
      </c>
      <c r="E296" s="160" t="n">
        <v>16160977</v>
      </c>
      <c r="F296" s="161" t="n">
        <v>38.225</v>
      </c>
      <c r="G296" s="161" t="n">
        <v>21.066</v>
      </c>
      <c r="I296" s="155" t="n">
        <v>10.14</v>
      </c>
      <c r="J296" s="156"/>
    </row>
    <row r="297" customFormat="false" ht="13.5" hidden="false" customHeight="false" outlineLevel="0" collapsed="false">
      <c r="A297" s="160" t="s">
        <v>295</v>
      </c>
      <c r="B297" s="160" t="s">
        <v>296</v>
      </c>
      <c r="C297" s="160" t="s">
        <v>444</v>
      </c>
      <c r="D297" s="160" t="s">
        <v>433</v>
      </c>
      <c r="E297" s="160" t="n">
        <v>548619191</v>
      </c>
      <c r="F297" s="161" t="n">
        <v>583</v>
      </c>
      <c r="G297" s="161" t="n">
        <v>117</v>
      </c>
      <c r="J297" s="156" t="n">
        <v>1350.94386955158</v>
      </c>
    </row>
    <row r="298" customFormat="false" ht="13.5" hidden="false" customHeight="false" outlineLevel="0" collapsed="false">
      <c r="A298" s="160" t="s">
        <v>295</v>
      </c>
      <c r="B298" s="160" t="s">
        <v>296</v>
      </c>
      <c r="C298" s="160" t="s">
        <v>441</v>
      </c>
      <c r="D298" s="160" t="s">
        <v>433</v>
      </c>
      <c r="E298" s="160" t="n">
        <v>548619177</v>
      </c>
      <c r="F298" s="161" t="n">
        <v>230</v>
      </c>
      <c r="G298" s="161" t="n">
        <v>364</v>
      </c>
      <c r="J298" s="156" t="n">
        <v>1350.94386955158</v>
      </c>
    </row>
    <row r="299" customFormat="false" ht="13.5" hidden="false" customHeight="false" outlineLevel="0" collapsed="false">
      <c r="A299" s="160" t="s">
        <v>295</v>
      </c>
      <c r="B299" s="160" t="s">
        <v>296</v>
      </c>
      <c r="C299" s="160" t="s">
        <v>435</v>
      </c>
      <c r="D299" s="160" t="s">
        <v>433</v>
      </c>
      <c r="E299" s="160" t="n">
        <v>548619139</v>
      </c>
      <c r="F299" s="161" t="n">
        <v>2372</v>
      </c>
      <c r="G299" s="161" t="n">
        <v>1419</v>
      </c>
      <c r="J299" s="156" t="n">
        <v>1350.94386955158</v>
      </c>
    </row>
    <row r="300" customFormat="false" ht="13.5" hidden="false" customHeight="false" outlineLevel="0" collapsed="false">
      <c r="A300" s="160" t="s">
        <v>295</v>
      </c>
      <c r="B300" s="160" t="s">
        <v>296</v>
      </c>
      <c r="C300" s="160" t="s">
        <v>434</v>
      </c>
      <c r="D300" s="160" t="s">
        <v>433</v>
      </c>
      <c r="E300" s="160" t="n">
        <v>548619214</v>
      </c>
      <c r="F300" s="161" t="n">
        <v>118</v>
      </c>
      <c r="G300" s="161" t="n">
        <v>33</v>
      </c>
      <c r="J300" s="156" t="n">
        <v>1350.94386955158</v>
      </c>
    </row>
    <row r="301" customFormat="false" ht="13.5" hidden="false" customHeight="false" outlineLevel="0" collapsed="false">
      <c r="A301" s="160" t="s">
        <v>295</v>
      </c>
      <c r="B301" s="160" t="s">
        <v>296</v>
      </c>
      <c r="C301" s="160" t="s">
        <v>432</v>
      </c>
      <c r="D301" s="160" t="s">
        <v>433</v>
      </c>
      <c r="E301" s="160" t="n">
        <v>607269879</v>
      </c>
      <c r="F301" s="161" t="n">
        <v>447</v>
      </c>
      <c r="G301" s="161" t="n">
        <v>349</v>
      </c>
      <c r="J301" s="156" t="n">
        <v>1350.94386955158</v>
      </c>
    </row>
    <row r="302" customFormat="false" ht="13.5" hidden="false" customHeight="false" outlineLevel="0" collapsed="false">
      <c r="A302" s="160" t="s">
        <v>295</v>
      </c>
      <c r="B302" s="160" t="s">
        <v>296</v>
      </c>
      <c r="C302" s="160" t="s">
        <v>415</v>
      </c>
      <c r="D302" s="160" t="s">
        <v>433</v>
      </c>
      <c r="E302" s="160" t="n">
        <v>548619153</v>
      </c>
      <c r="F302" s="161" t="n">
        <v>980</v>
      </c>
      <c r="G302" s="161" t="n">
        <v>968</v>
      </c>
      <c r="J302" s="156" t="n">
        <v>1350.94386955158</v>
      </c>
    </row>
    <row r="303" customFormat="false" ht="13.5" hidden="false" customHeight="false" outlineLevel="0" collapsed="false">
      <c r="A303" s="160" t="s">
        <v>295</v>
      </c>
      <c r="B303" s="160" t="s">
        <v>296</v>
      </c>
      <c r="C303" s="160" t="s">
        <v>441</v>
      </c>
      <c r="D303" s="160" t="s">
        <v>433</v>
      </c>
      <c r="E303" s="160" t="n">
        <v>548619054</v>
      </c>
      <c r="F303" s="161" t="n">
        <v>249</v>
      </c>
      <c r="G303" s="161" t="n">
        <v>143</v>
      </c>
      <c r="J303" s="156" t="n">
        <v>1350.94386955158</v>
      </c>
    </row>
    <row r="304" customFormat="false" ht="13.5" hidden="false" customHeight="false" outlineLevel="0" collapsed="false">
      <c r="A304" s="160" t="s">
        <v>295</v>
      </c>
      <c r="B304" s="160" t="s">
        <v>296</v>
      </c>
      <c r="C304" s="160" t="s">
        <v>432</v>
      </c>
      <c r="D304" s="160" t="s">
        <v>433</v>
      </c>
      <c r="E304" s="160" t="n">
        <v>607269350</v>
      </c>
      <c r="F304" s="161" t="n">
        <v>1109</v>
      </c>
      <c r="G304" s="161" t="n">
        <v>954</v>
      </c>
      <c r="J304" s="156" t="n">
        <v>1350.94386955158</v>
      </c>
    </row>
    <row r="305" customFormat="false" ht="13.5" hidden="false" customHeight="false" outlineLevel="0" collapsed="false">
      <c r="A305" s="160" t="s">
        <v>295</v>
      </c>
      <c r="B305" s="160" t="s">
        <v>296</v>
      </c>
      <c r="C305" s="160" t="s">
        <v>432</v>
      </c>
      <c r="D305" s="160" t="s">
        <v>433</v>
      </c>
      <c r="E305" s="160" t="n">
        <v>548619238</v>
      </c>
      <c r="F305" s="161" t="n">
        <v>515</v>
      </c>
      <c r="G305" s="161" t="n">
        <v>1331</v>
      </c>
      <c r="J305" s="156" t="n">
        <v>1350.94386955158</v>
      </c>
    </row>
    <row r="306" customFormat="false" ht="13.5" hidden="false" customHeight="false" outlineLevel="0" collapsed="false">
      <c r="A306" s="160" t="s">
        <v>295</v>
      </c>
      <c r="B306" s="160" t="s">
        <v>296</v>
      </c>
      <c r="C306" s="160" t="s">
        <v>439</v>
      </c>
      <c r="D306" s="160" t="s">
        <v>433</v>
      </c>
      <c r="E306" s="160" t="n">
        <v>548619078</v>
      </c>
      <c r="F306" s="161" t="n">
        <v>2245</v>
      </c>
      <c r="G306" s="161" t="n">
        <v>1764</v>
      </c>
      <c r="J306" s="156" t="n">
        <v>1350.94386955158</v>
      </c>
    </row>
    <row r="307" customFormat="false" ht="13.5" hidden="false" customHeight="false" outlineLevel="0" collapsed="false">
      <c r="A307" s="160" t="s">
        <v>295</v>
      </c>
      <c r="B307" s="160" t="s">
        <v>296</v>
      </c>
      <c r="C307" s="160" t="s">
        <v>439</v>
      </c>
      <c r="D307" s="160" t="s">
        <v>436</v>
      </c>
      <c r="E307" s="160" t="n">
        <v>15990195</v>
      </c>
      <c r="F307" s="161" t="n">
        <v>268.129</v>
      </c>
      <c r="G307" s="161" t="n">
        <v>230.775</v>
      </c>
      <c r="H307" s="155" t="n">
        <v>60.835</v>
      </c>
      <c r="J307" s="156"/>
    </row>
    <row r="308" customFormat="false" ht="13.5" hidden="false" customHeight="false" outlineLevel="0" collapsed="false">
      <c r="A308" s="160" t="s">
        <v>295</v>
      </c>
      <c r="B308" s="160" t="s">
        <v>296</v>
      </c>
      <c r="C308" s="160" t="s">
        <v>435</v>
      </c>
      <c r="D308" s="160" t="s">
        <v>436</v>
      </c>
      <c r="E308" s="160" t="n">
        <v>15990183</v>
      </c>
      <c r="F308" s="161" t="n">
        <v>252.89</v>
      </c>
      <c r="G308" s="161" t="n">
        <v>215.471</v>
      </c>
      <c r="H308" s="155" t="n">
        <v>60.835</v>
      </c>
      <c r="J308" s="156"/>
    </row>
    <row r="309" customFormat="false" ht="13.5" hidden="false" customHeight="false" outlineLevel="0" collapsed="false">
      <c r="A309" s="160" t="s">
        <v>295</v>
      </c>
      <c r="B309" s="160" t="s">
        <v>296</v>
      </c>
      <c r="C309" s="160" t="s">
        <v>439</v>
      </c>
      <c r="D309" s="160" t="s">
        <v>145</v>
      </c>
      <c r="E309" s="160" t="n">
        <v>16160364</v>
      </c>
      <c r="F309" s="161" t="n">
        <v>204.548</v>
      </c>
      <c r="G309" s="161" t="n">
        <v>175.443</v>
      </c>
      <c r="I309" s="155" t="n">
        <v>20.2766666666667</v>
      </c>
      <c r="J309" s="156"/>
    </row>
    <row r="310" customFormat="false" ht="13.5" hidden="false" customHeight="false" outlineLevel="0" collapsed="false">
      <c r="A310" s="160" t="s">
        <v>295</v>
      </c>
      <c r="B310" s="160" t="s">
        <v>296</v>
      </c>
      <c r="C310" s="160" t="s">
        <v>435</v>
      </c>
      <c r="D310" s="160" t="s">
        <v>145</v>
      </c>
      <c r="E310" s="160" t="n">
        <v>16129400</v>
      </c>
      <c r="F310" s="161" t="n">
        <v>81.932</v>
      </c>
      <c r="G310" s="161" t="n">
        <v>72.718</v>
      </c>
      <c r="I310" s="155" t="n">
        <v>20.2766666666667</v>
      </c>
      <c r="J310" s="156"/>
    </row>
    <row r="311" customFormat="false" ht="13.5" hidden="false" customHeight="false" outlineLevel="0" collapsed="false">
      <c r="A311" s="160" t="s">
        <v>298</v>
      </c>
      <c r="B311" s="160" t="s">
        <v>299</v>
      </c>
      <c r="C311" s="160" t="s">
        <v>415</v>
      </c>
      <c r="D311" s="160" t="s">
        <v>433</v>
      </c>
      <c r="E311" s="160" t="n">
        <v>620009674</v>
      </c>
      <c r="F311" s="161" t="n">
        <v>1266</v>
      </c>
      <c r="G311" s="161" t="n">
        <v>508</v>
      </c>
      <c r="J311" s="156" t="n">
        <v>1350.94386955158</v>
      </c>
    </row>
    <row r="312" customFormat="false" ht="13.5" hidden="false" customHeight="false" outlineLevel="0" collapsed="false">
      <c r="A312" s="160" t="s">
        <v>298</v>
      </c>
      <c r="B312" s="160" t="s">
        <v>299</v>
      </c>
      <c r="C312" s="160" t="s">
        <v>432</v>
      </c>
      <c r="D312" s="160" t="s">
        <v>433</v>
      </c>
      <c r="E312" s="160" t="n">
        <v>620009698</v>
      </c>
      <c r="F312" s="161" t="n">
        <v>296</v>
      </c>
      <c r="G312" s="161" t="n">
        <v>476</v>
      </c>
      <c r="J312" s="156" t="n">
        <v>1350.94386955158</v>
      </c>
    </row>
    <row r="313" customFormat="false" ht="13.5" hidden="false" customHeight="false" outlineLevel="0" collapsed="false">
      <c r="A313" s="160" t="s">
        <v>298</v>
      </c>
      <c r="B313" s="160" t="s">
        <v>299</v>
      </c>
      <c r="C313" s="160" t="s">
        <v>452</v>
      </c>
      <c r="D313" s="160" t="s">
        <v>433</v>
      </c>
      <c r="E313" s="160" t="n">
        <v>620009636</v>
      </c>
      <c r="F313" s="161" t="n">
        <v>666</v>
      </c>
      <c r="G313" s="161" t="n">
        <v>796</v>
      </c>
      <c r="J313" s="156" t="n">
        <v>1350.94386955158</v>
      </c>
    </row>
    <row r="314" customFormat="false" ht="13.5" hidden="false" customHeight="false" outlineLevel="0" collapsed="false">
      <c r="A314" s="160" t="s">
        <v>298</v>
      </c>
      <c r="B314" s="160" t="s">
        <v>299</v>
      </c>
      <c r="C314" s="160" t="s">
        <v>415</v>
      </c>
      <c r="D314" s="160" t="s">
        <v>433</v>
      </c>
      <c r="E314" s="160" t="n">
        <v>620009650</v>
      </c>
      <c r="F314" s="161" t="n">
        <v>321</v>
      </c>
      <c r="G314" s="161" t="n">
        <v>496</v>
      </c>
      <c r="J314" s="156" t="n">
        <v>1350.94386955158</v>
      </c>
    </row>
    <row r="315" customFormat="false" ht="13.5" hidden="false" customHeight="false" outlineLevel="0" collapsed="false">
      <c r="A315" s="160" t="s">
        <v>298</v>
      </c>
      <c r="B315" s="160" t="s">
        <v>299</v>
      </c>
      <c r="C315" s="160" t="s">
        <v>438</v>
      </c>
      <c r="D315" s="160" t="s">
        <v>433</v>
      </c>
      <c r="E315" s="160" t="n">
        <v>620214986</v>
      </c>
      <c r="F315" s="161" t="n">
        <v>769</v>
      </c>
      <c r="G315" s="161" t="n">
        <v>54</v>
      </c>
      <c r="J315" s="156" t="n">
        <v>1350.94386955158</v>
      </c>
    </row>
    <row r="316" customFormat="false" ht="13.5" hidden="false" customHeight="false" outlineLevel="0" collapsed="false">
      <c r="A316" s="160" t="s">
        <v>298</v>
      </c>
      <c r="B316" s="160" t="s">
        <v>299</v>
      </c>
      <c r="C316" s="160" t="s">
        <v>434</v>
      </c>
      <c r="D316" s="160" t="s">
        <v>433</v>
      </c>
      <c r="E316" s="160" t="n">
        <v>620214948</v>
      </c>
      <c r="F316" s="161" t="n">
        <v>53</v>
      </c>
      <c r="G316" s="161" t="n">
        <v>53</v>
      </c>
      <c r="J316" s="156" t="n">
        <v>1350.94386955158</v>
      </c>
    </row>
    <row r="317" customFormat="false" ht="13.5" hidden="false" customHeight="false" outlineLevel="0" collapsed="false">
      <c r="A317" s="160" t="s">
        <v>298</v>
      </c>
      <c r="B317" s="160" t="s">
        <v>299</v>
      </c>
      <c r="C317" s="160" t="s">
        <v>432</v>
      </c>
      <c r="D317" s="160" t="s">
        <v>433</v>
      </c>
      <c r="E317" s="160" t="n">
        <v>620009735</v>
      </c>
      <c r="F317" s="161" t="n">
        <v>418</v>
      </c>
      <c r="G317" s="161" t="n">
        <v>590</v>
      </c>
      <c r="J317" s="156" t="n">
        <v>1350.94386955158</v>
      </c>
    </row>
    <row r="318" customFormat="false" ht="13.5" hidden="false" customHeight="false" outlineLevel="0" collapsed="false">
      <c r="A318" s="160" t="s">
        <v>298</v>
      </c>
      <c r="B318" s="160" t="s">
        <v>299</v>
      </c>
      <c r="C318" s="160" t="s">
        <v>435</v>
      </c>
      <c r="D318" s="160" t="s">
        <v>433</v>
      </c>
      <c r="E318" s="160" t="n">
        <v>620009186</v>
      </c>
      <c r="F318" s="161" t="n">
        <v>2414</v>
      </c>
      <c r="G318" s="161" t="n">
        <v>748</v>
      </c>
      <c r="J318" s="156" t="n">
        <v>1350.94386955158</v>
      </c>
    </row>
    <row r="319" customFormat="false" ht="13.5" hidden="false" customHeight="false" outlineLevel="0" collapsed="false">
      <c r="A319" s="160" t="s">
        <v>298</v>
      </c>
      <c r="B319" s="160" t="s">
        <v>299</v>
      </c>
      <c r="C319" s="160" t="s">
        <v>435</v>
      </c>
      <c r="D319" s="160" t="s">
        <v>433</v>
      </c>
      <c r="E319" s="160" t="n">
        <v>620009711</v>
      </c>
      <c r="F319" s="161" t="n">
        <v>1216</v>
      </c>
      <c r="G319" s="161" t="n">
        <v>795</v>
      </c>
      <c r="J319" s="156" t="n">
        <v>1350.94386955158</v>
      </c>
    </row>
    <row r="320" s="6" customFormat="true" ht="13.5" hidden="false" customHeight="false" outlineLevel="0" collapsed="false">
      <c r="A320" s="160" t="s">
        <v>298</v>
      </c>
      <c r="B320" s="160" t="s">
        <v>299</v>
      </c>
      <c r="C320" s="160" t="s">
        <v>452</v>
      </c>
      <c r="D320" s="160" t="s">
        <v>433</v>
      </c>
      <c r="E320" s="160" t="s">
        <v>454</v>
      </c>
      <c r="F320" s="161" t="n">
        <v>114</v>
      </c>
      <c r="G320" s="161" t="n">
        <v>81</v>
      </c>
      <c r="H320" s="155"/>
      <c r="I320" s="155"/>
      <c r="J320" s="156" t="n">
        <v>1350.94386955158</v>
      </c>
    </row>
    <row r="321" customFormat="false" ht="13.5" hidden="false" customHeight="false" outlineLevel="0" collapsed="false">
      <c r="A321" s="160" t="s">
        <v>298</v>
      </c>
      <c r="B321" s="160" t="s">
        <v>299</v>
      </c>
      <c r="C321" s="160" t="s">
        <v>435</v>
      </c>
      <c r="D321" s="160" t="s">
        <v>436</v>
      </c>
      <c r="E321" s="160" t="n">
        <v>16075870</v>
      </c>
      <c r="F321" s="161" t="n">
        <v>108.407</v>
      </c>
      <c r="G321" s="161" t="n">
        <v>83.94</v>
      </c>
      <c r="H321" s="155" t="n">
        <v>60.835</v>
      </c>
      <c r="J321" s="156"/>
    </row>
    <row r="322" customFormat="false" ht="13.5" hidden="false" customHeight="false" outlineLevel="0" collapsed="false">
      <c r="A322" s="160" t="s">
        <v>298</v>
      </c>
      <c r="B322" s="160" t="s">
        <v>299</v>
      </c>
      <c r="C322" s="160" t="s">
        <v>435</v>
      </c>
      <c r="D322" s="160" t="s">
        <v>436</v>
      </c>
      <c r="E322" s="160" t="n">
        <v>16075865</v>
      </c>
      <c r="F322" s="161" t="n">
        <v>169.422</v>
      </c>
      <c r="G322" s="161" t="n">
        <v>126.305</v>
      </c>
      <c r="H322" s="155" t="n">
        <v>60.835</v>
      </c>
      <c r="J322" s="156"/>
    </row>
    <row r="323" customFormat="false" ht="13.5" hidden="false" customHeight="false" outlineLevel="0" collapsed="false">
      <c r="A323" s="160" t="s">
        <v>298</v>
      </c>
      <c r="B323" s="160" t="s">
        <v>299</v>
      </c>
      <c r="C323" s="160" t="s">
        <v>435</v>
      </c>
      <c r="D323" s="160" t="s">
        <v>145</v>
      </c>
      <c r="E323" s="160" t="n">
        <v>16160649</v>
      </c>
      <c r="F323" s="161" t="n">
        <v>68.356</v>
      </c>
      <c r="G323" s="161" t="n">
        <v>53.983</v>
      </c>
      <c r="I323" s="155" t="n">
        <v>20.2766666666667</v>
      </c>
      <c r="J323" s="156"/>
    </row>
    <row r="324" customFormat="false" ht="13.5" hidden="false" customHeight="false" outlineLevel="0" collapsed="false">
      <c r="A324" s="160" t="s">
        <v>298</v>
      </c>
      <c r="B324" s="160" t="s">
        <v>299</v>
      </c>
      <c r="C324" s="160" t="s">
        <v>435</v>
      </c>
      <c r="D324" s="160" t="s">
        <v>145</v>
      </c>
      <c r="E324" s="160" t="n">
        <v>16160969</v>
      </c>
      <c r="F324" s="161" t="n">
        <v>48.115</v>
      </c>
      <c r="G324" s="161" t="n">
        <v>32.417</v>
      </c>
      <c r="I324" s="155" t="n">
        <v>20.2766666666667</v>
      </c>
      <c r="J324" s="156"/>
    </row>
    <row r="325" customFormat="false" ht="13.5" hidden="false" customHeight="false" outlineLevel="0" collapsed="false">
      <c r="A325" s="160" t="s">
        <v>301</v>
      </c>
      <c r="B325" s="160" t="s">
        <v>302</v>
      </c>
      <c r="C325" s="160" t="s">
        <v>438</v>
      </c>
      <c r="D325" s="160" t="s">
        <v>433</v>
      </c>
      <c r="E325" s="160" t="n">
        <v>622086222</v>
      </c>
      <c r="F325" s="161" t="n">
        <v>1682</v>
      </c>
      <c r="G325" s="161" t="n">
        <v>1384</v>
      </c>
      <c r="J325" s="156" t="n">
        <v>2026.41580432738</v>
      </c>
    </row>
    <row r="326" customFormat="false" ht="13.5" hidden="false" customHeight="false" outlineLevel="0" collapsed="false">
      <c r="A326" s="160" t="s">
        <v>301</v>
      </c>
      <c r="B326" s="160" t="s">
        <v>302</v>
      </c>
      <c r="C326" s="160" t="s">
        <v>441</v>
      </c>
      <c r="D326" s="160" t="s">
        <v>433</v>
      </c>
      <c r="E326" s="160" t="n">
        <v>622086246</v>
      </c>
      <c r="F326" s="161" t="n">
        <v>2793</v>
      </c>
      <c r="G326" s="161" t="n">
        <v>2123</v>
      </c>
      <c r="J326" s="156" t="n">
        <v>2026.41580432738</v>
      </c>
    </row>
    <row r="327" customFormat="false" ht="13.5" hidden="false" customHeight="false" outlineLevel="0" collapsed="false">
      <c r="A327" s="160" t="s">
        <v>301</v>
      </c>
      <c r="B327" s="160" t="s">
        <v>302</v>
      </c>
      <c r="C327" s="160" t="s">
        <v>432</v>
      </c>
      <c r="D327" s="160" t="s">
        <v>433</v>
      </c>
      <c r="E327" s="160" t="n">
        <v>620007427</v>
      </c>
      <c r="F327" s="161" t="n">
        <v>1614</v>
      </c>
      <c r="G327" s="161" t="n">
        <v>1764</v>
      </c>
      <c r="J327" s="156" t="n">
        <v>2026.41580432738</v>
      </c>
    </row>
    <row r="328" customFormat="false" ht="13.5" hidden="false" customHeight="false" outlineLevel="0" collapsed="false">
      <c r="A328" s="160" t="s">
        <v>301</v>
      </c>
      <c r="B328" s="160" t="s">
        <v>302</v>
      </c>
      <c r="C328" s="160" t="s">
        <v>438</v>
      </c>
      <c r="D328" s="160" t="s">
        <v>433</v>
      </c>
      <c r="E328" s="160" t="n">
        <v>619186782</v>
      </c>
      <c r="F328" s="161" t="n">
        <v>1883</v>
      </c>
      <c r="G328" s="161" t="n">
        <v>972</v>
      </c>
      <c r="J328" s="156" t="n">
        <v>2026.41580432738</v>
      </c>
    </row>
    <row r="329" customFormat="false" ht="13.5" hidden="false" customHeight="false" outlineLevel="0" collapsed="false">
      <c r="A329" s="160" t="s">
        <v>301</v>
      </c>
      <c r="B329" s="160" t="s">
        <v>302</v>
      </c>
      <c r="C329" s="160" t="s">
        <v>435</v>
      </c>
      <c r="D329" s="160" t="s">
        <v>433</v>
      </c>
      <c r="E329" s="160" t="n">
        <v>622086284</v>
      </c>
      <c r="F329" s="161" t="n">
        <v>2053</v>
      </c>
      <c r="G329" s="161" t="n">
        <v>1669</v>
      </c>
      <c r="J329" s="156" t="n">
        <v>2026.41580432738</v>
      </c>
    </row>
    <row r="330" customFormat="false" ht="13.5" hidden="false" customHeight="false" outlineLevel="0" collapsed="false">
      <c r="A330" s="160" t="s">
        <v>301</v>
      </c>
      <c r="B330" s="160" t="s">
        <v>302</v>
      </c>
      <c r="C330" s="160" t="s">
        <v>432</v>
      </c>
      <c r="D330" s="160" t="s">
        <v>433</v>
      </c>
      <c r="E330" s="160" t="n">
        <v>620008967</v>
      </c>
      <c r="F330" s="161" t="n">
        <v>2117</v>
      </c>
      <c r="G330" s="161" t="n">
        <v>1319</v>
      </c>
      <c r="J330" s="156" t="n">
        <v>2026.41580432738</v>
      </c>
    </row>
    <row r="331" customFormat="false" ht="13.5" hidden="false" customHeight="false" outlineLevel="0" collapsed="false">
      <c r="A331" s="160" t="s">
        <v>301</v>
      </c>
      <c r="B331" s="160" t="s">
        <v>302</v>
      </c>
      <c r="C331" s="160" t="s">
        <v>452</v>
      </c>
      <c r="D331" s="160" t="s">
        <v>433</v>
      </c>
      <c r="E331" s="160" t="n">
        <v>619186805</v>
      </c>
      <c r="F331" s="161" t="n">
        <v>2619</v>
      </c>
      <c r="G331" s="161" t="n">
        <v>1366</v>
      </c>
      <c r="J331" s="156" t="n">
        <v>2026.41580432738</v>
      </c>
    </row>
    <row r="332" customFormat="false" ht="13.5" hidden="false" customHeight="false" outlineLevel="0" collapsed="false">
      <c r="A332" s="160" t="s">
        <v>301</v>
      </c>
      <c r="B332" s="160" t="s">
        <v>302</v>
      </c>
      <c r="C332" s="160" t="s">
        <v>452</v>
      </c>
      <c r="D332" s="160" t="s">
        <v>433</v>
      </c>
      <c r="E332" s="160" t="n">
        <v>619186539</v>
      </c>
      <c r="F332" s="161" t="n">
        <v>1899</v>
      </c>
      <c r="G332" s="161" t="n">
        <v>1594</v>
      </c>
      <c r="J332" s="156" t="n">
        <v>2026.41580432738</v>
      </c>
    </row>
    <row r="333" customFormat="false" ht="13.5" hidden="false" customHeight="false" outlineLevel="0" collapsed="false">
      <c r="A333" s="160" t="s">
        <v>301</v>
      </c>
      <c r="B333" s="160" t="s">
        <v>302</v>
      </c>
      <c r="C333" s="160" t="s">
        <v>444</v>
      </c>
      <c r="D333" s="160" t="s">
        <v>433</v>
      </c>
      <c r="E333" s="160" t="n">
        <v>620215006</v>
      </c>
      <c r="F333" s="161" t="n">
        <v>2796</v>
      </c>
      <c r="G333" s="161" t="n">
        <v>2071</v>
      </c>
      <c r="J333" s="156" t="n">
        <v>2026.41580432738</v>
      </c>
    </row>
    <row r="334" customFormat="false" ht="13.5" hidden="false" customHeight="false" outlineLevel="0" collapsed="false">
      <c r="A334" s="160" t="s">
        <v>301</v>
      </c>
      <c r="B334" s="160" t="s">
        <v>302</v>
      </c>
      <c r="C334" s="160" t="s">
        <v>432</v>
      </c>
      <c r="D334" s="160" t="s">
        <v>433</v>
      </c>
      <c r="E334" s="160" t="n">
        <v>619186768</v>
      </c>
      <c r="F334" s="161" t="n">
        <v>2346</v>
      </c>
      <c r="G334" s="161" t="n">
        <v>1676</v>
      </c>
      <c r="J334" s="156" t="n">
        <v>2026.41580432738</v>
      </c>
    </row>
    <row r="335" customFormat="false" ht="13.5" hidden="false" customHeight="false" outlineLevel="0" collapsed="false">
      <c r="A335" s="160" t="s">
        <v>301</v>
      </c>
      <c r="B335" s="160" t="s">
        <v>302</v>
      </c>
      <c r="C335" s="160" t="s">
        <v>435</v>
      </c>
      <c r="D335" s="160" t="s">
        <v>433</v>
      </c>
      <c r="E335" s="160" t="n">
        <v>625280863</v>
      </c>
      <c r="F335" s="161" t="n">
        <v>3255</v>
      </c>
      <c r="G335" s="161" t="n">
        <v>1505</v>
      </c>
      <c r="J335" s="156" t="n">
        <v>2026.41580432738</v>
      </c>
    </row>
    <row r="336" customFormat="false" ht="13.5" hidden="false" customHeight="false" outlineLevel="0" collapsed="false">
      <c r="A336" s="160" t="s">
        <v>301</v>
      </c>
      <c r="B336" s="160" t="s">
        <v>302</v>
      </c>
      <c r="C336" s="160" t="s">
        <v>415</v>
      </c>
      <c r="D336" s="160" t="s">
        <v>436</v>
      </c>
      <c r="E336" s="160" t="n">
        <v>16200252</v>
      </c>
      <c r="F336" s="161" t="n">
        <v>68.306</v>
      </c>
      <c r="G336" s="161" t="n">
        <v>57.517</v>
      </c>
      <c r="H336" s="155" t="n">
        <v>60.8333333333333</v>
      </c>
      <c r="J336" s="156"/>
    </row>
    <row r="337" customFormat="false" ht="13.5" hidden="false" customHeight="false" outlineLevel="0" collapsed="false">
      <c r="A337" s="160" t="s">
        <v>301</v>
      </c>
      <c r="B337" s="160" t="s">
        <v>302</v>
      </c>
      <c r="C337" s="160" t="s">
        <v>435</v>
      </c>
      <c r="D337" s="160" t="s">
        <v>436</v>
      </c>
      <c r="E337" s="160" t="n">
        <v>16075982</v>
      </c>
      <c r="F337" s="161" t="n">
        <v>178.865</v>
      </c>
      <c r="G337" s="161" t="n">
        <v>148.95</v>
      </c>
      <c r="H337" s="155" t="n">
        <v>60.8333333333333</v>
      </c>
      <c r="J337" s="156"/>
    </row>
    <row r="338" customFormat="false" ht="13.5" hidden="false" customHeight="false" outlineLevel="0" collapsed="false">
      <c r="A338" s="160" t="s">
        <v>301</v>
      </c>
      <c r="B338" s="160" t="s">
        <v>302</v>
      </c>
      <c r="C338" s="160" t="s">
        <v>435</v>
      </c>
      <c r="D338" s="160" t="s">
        <v>436</v>
      </c>
      <c r="E338" s="160" t="n">
        <v>16200487</v>
      </c>
      <c r="F338" s="161" t="n">
        <v>145.428</v>
      </c>
      <c r="G338" s="161" t="n">
        <v>124.924</v>
      </c>
      <c r="H338" s="155" t="n">
        <v>60.8333333333333</v>
      </c>
      <c r="J338" s="156"/>
    </row>
    <row r="339" customFormat="false" ht="13.5" hidden="false" customHeight="false" outlineLevel="0" collapsed="false">
      <c r="A339" s="160" t="s">
        <v>301</v>
      </c>
      <c r="B339" s="160" t="s">
        <v>302</v>
      </c>
      <c r="C339" s="160" t="s">
        <v>415</v>
      </c>
      <c r="D339" s="160" t="s">
        <v>145</v>
      </c>
      <c r="E339" s="160" t="n">
        <v>16160648</v>
      </c>
      <c r="F339" s="161" t="n">
        <v>21.032</v>
      </c>
      <c r="G339" s="161" t="n">
        <v>17.007</v>
      </c>
      <c r="I339" s="155" t="n">
        <v>30.4166666666667</v>
      </c>
      <c r="J339" s="156"/>
    </row>
    <row r="340" customFormat="false" ht="13.5" hidden="false" customHeight="false" outlineLevel="0" collapsed="false">
      <c r="A340" s="160" t="s">
        <v>301</v>
      </c>
      <c r="B340" s="160" t="s">
        <v>302</v>
      </c>
      <c r="C340" s="160" t="s">
        <v>435</v>
      </c>
      <c r="D340" s="160" t="s">
        <v>145</v>
      </c>
      <c r="E340" s="160" t="n">
        <v>16160645</v>
      </c>
      <c r="F340" s="161" t="n">
        <v>98.543</v>
      </c>
      <c r="G340" s="161" t="n">
        <v>83.506</v>
      </c>
      <c r="I340" s="155" t="n">
        <v>30.4166666666667</v>
      </c>
      <c r="J340" s="156"/>
    </row>
    <row r="341" customFormat="false" ht="13.5" hidden="false" customHeight="false" outlineLevel="0" collapsed="false">
      <c r="A341" s="160" t="s">
        <v>301</v>
      </c>
      <c r="B341" s="160" t="s">
        <v>302</v>
      </c>
      <c r="C341" s="160" t="s">
        <v>435</v>
      </c>
      <c r="D341" s="160" t="s">
        <v>145</v>
      </c>
      <c r="E341" s="160" t="n">
        <v>16160966</v>
      </c>
      <c r="F341" s="161" t="n">
        <v>76.573</v>
      </c>
      <c r="G341" s="161" t="n">
        <v>67.517</v>
      </c>
      <c r="I341" s="155" t="n">
        <v>30.4166666666667</v>
      </c>
      <c r="J341" s="156"/>
    </row>
    <row r="342" customFormat="false" ht="13.5" hidden="false" customHeight="false" outlineLevel="0" collapsed="false">
      <c r="A342" s="160"/>
      <c r="B342" s="160" t="s">
        <v>455</v>
      </c>
      <c r="C342" s="160" t="s">
        <v>422</v>
      </c>
      <c r="D342" s="160" t="s">
        <v>433</v>
      </c>
      <c r="E342" s="160" t="n">
        <v>625280221</v>
      </c>
      <c r="F342" s="161" t="n">
        <v>29</v>
      </c>
      <c r="G342" s="161" t="n">
        <v>270</v>
      </c>
      <c r="H342" s="155" t="str">
        <f aca="false">IF(D342="Kaltwasser",F342-G342,"")</f>
        <v/>
      </c>
      <c r="I342" s="155" t="str">
        <f aca="false">IF(D342="Warmwasser",F342-G342,"")</f>
        <v/>
      </c>
      <c r="J342" s="156"/>
      <c r="M342" s="165" t="n">
        <f aca="false">IF(D342="ista",F342,"")</f>
        <v>29</v>
      </c>
    </row>
    <row r="343" customFormat="false" ht="13.5" hidden="false" customHeight="false" outlineLevel="0" collapsed="false">
      <c r="A343" s="160"/>
      <c r="B343" s="160" t="s">
        <v>455</v>
      </c>
      <c r="C343" s="160" t="s">
        <v>414</v>
      </c>
      <c r="D343" s="160" t="s">
        <v>433</v>
      </c>
      <c r="E343" s="160" t="n">
        <v>625280245</v>
      </c>
      <c r="F343" s="161" t="n">
        <v>1562</v>
      </c>
      <c r="G343" s="161" t="n">
        <v>1598</v>
      </c>
      <c r="H343" s="155" t="str">
        <f aca="false">IF(D343="Kaltwasser",F343-G343,"")</f>
        <v/>
      </c>
      <c r="I343" s="155" t="str">
        <f aca="false">IF(D343="Warmwasser",F343-G343,"")</f>
        <v/>
      </c>
      <c r="J343" s="156"/>
      <c r="M343" s="166" t="n">
        <f aca="false">IF(D343="ista",F343,"")</f>
        <v>1562</v>
      </c>
    </row>
    <row r="344" customFormat="false" ht="13.5" hidden="false" customHeight="false" outlineLevel="0" collapsed="false">
      <c r="A344" s="160"/>
      <c r="B344" s="160" t="s">
        <v>455</v>
      </c>
      <c r="C344" s="160" t="s">
        <v>456</v>
      </c>
      <c r="D344" s="160" t="s">
        <v>433</v>
      </c>
      <c r="E344" s="160" t="n">
        <v>620007649</v>
      </c>
      <c r="F344" s="161"/>
      <c r="G344" s="161" t="n">
        <v>1199</v>
      </c>
      <c r="H344" s="155" t="str">
        <f aca="false">IF(D344="Kaltwasser",F344-G344,"")</f>
        <v/>
      </c>
      <c r="I344" s="155" t="str">
        <f aca="false">IF(D344="Warmwasser",F344-G344,"")</f>
        <v/>
      </c>
      <c r="J344" s="156"/>
      <c r="M344" s="165" t="n">
        <f aca="false">IF(D344="ista",F344,"")</f>
        <v>0</v>
      </c>
    </row>
    <row r="345" customFormat="false" ht="13.5" hidden="false" customHeight="false" outlineLevel="0" collapsed="false">
      <c r="A345" s="160"/>
      <c r="B345" s="160" t="s">
        <v>455</v>
      </c>
      <c r="C345" s="160" t="s">
        <v>414</v>
      </c>
      <c r="D345" s="160" t="s">
        <v>433</v>
      </c>
      <c r="E345" s="160" t="n">
        <v>625280382</v>
      </c>
      <c r="F345" s="161" t="n">
        <v>423</v>
      </c>
      <c r="G345" s="161" t="n">
        <v>522</v>
      </c>
      <c r="H345" s="155" t="str">
        <f aca="false">IF(D345="Kaltwasser",F345-G345,"")</f>
        <v/>
      </c>
      <c r="I345" s="155" t="str">
        <f aca="false">IF(D345="Warmwasser",F345-G345,"")</f>
        <v/>
      </c>
      <c r="J345" s="156"/>
      <c r="M345" s="166" t="n">
        <f aca="false">IF(D345="ista",F345,"")</f>
        <v>423</v>
      </c>
    </row>
    <row r="346" customFormat="false" ht="13.5" hidden="false" customHeight="false" outlineLevel="0" collapsed="false">
      <c r="A346" s="160"/>
      <c r="B346" s="160" t="s">
        <v>455</v>
      </c>
      <c r="C346" s="160" t="s">
        <v>456</v>
      </c>
      <c r="D346" s="160" t="s">
        <v>433</v>
      </c>
      <c r="E346" s="160" t="n">
        <v>620007502</v>
      </c>
      <c r="F346" s="161"/>
      <c r="G346" s="161" t="n">
        <v>1289</v>
      </c>
      <c r="H346" s="155" t="str">
        <f aca="false">IF(D346="Kaltwasser",F346-G346,"")</f>
        <v/>
      </c>
      <c r="I346" s="155" t="str">
        <f aca="false">IF(D346="Warmwasser",F346-G346,"")</f>
        <v/>
      </c>
      <c r="J346" s="156"/>
      <c r="M346" s="165" t="n">
        <f aca="false">IF(D346="ista",F346,"")</f>
        <v>0</v>
      </c>
    </row>
    <row r="347" customFormat="false" ht="13.5" hidden="false" customHeight="false" outlineLevel="0" collapsed="false">
      <c r="A347" s="160"/>
      <c r="B347" s="160" t="s">
        <v>455</v>
      </c>
      <c r="C347" s="160" t="s">
        <v>415</v>
      </c>
      <c r="D347" s="160" t="s">
        <v>433</v>
      </c>
      <c r="E347" s="160" t="s">
        <v>457</v>
      </c>
      <c r="F347" s="161" t="n">
        <v>62</v>
      </c>
      <c r="G347" s="161" t="n">
        <v>263</v>
      </c>
      <c r="H347" s="155" t="str">
        <f aca="false">IF(D347="Kaltwasser",F347-G347,"")</f>
        <v/>
      </c>
      <c r="I347" s="155" t="str">
        <f aca="false">IF(D347="Warmwasser",F347-G347,"")</f>
        <v/>
      </c>
      <c r="J347" s="156"/>
      <c r="M347" s="166" t="n">
        <f aca="false">IF(D347="ista",F347,"")</f>
        <v>62</v>
      </c>
    </row>
    <row r="348" customFormat="false" ht="13.5" hidden="false" customHeight="false" outlineLevel="0" collapsed="false">
      <c r="A348" s="160"/>
      <c r="B348" s="160" t="s">
        <v>455</v>
      </c>
      <c r="C348" s="160" t="s">
        <v>439</v>
      </c>
      <c r="D348" s="160" t="s">
        <v>433</v>
      </c>
      <c r="E348" s="160" t="n">
        <v>630547302</v>
      </c>
      <c r="F348" s="161" t="n">
        <v>25</v>
      </c>
      <c r="G348" s="161" t="n">
        <v>481</v>
      </c>
      <c r="H348" s="155" t="str">
        <f aca="false">IF(D348="Kaltwasser",F348-G348,"")</f>
        <v/>
      </c>
      <c r="I348" s="155" t="str">
        <f aca="false">IF(D348="Warmwasser",F348-G348,"")</f>
        <v/>
      </c>
      <c r="J348" s="156"/>
      <c r="M348" s="165" t="n">
        <f aca="false">IF(D348="ista",F348,"")</f>
        <v>25</v>
      </c>
    </row>
    <row r="349" customFormat="false" ht="13.5" hidden="false" customHeight="false" outlineLevel="0" collapsed="false">
      <c r="A349" s="160"/>
      <c r="B349" s="160" t="s">
        <v>455</v>
      </c>
      <c r="C349" s="160" t="s">
        <v>414</v>
      </c>
      <c r="D349" s="160" t="s">
        <v>433</v>
      </c>
      <c r="E349" s="160" t="n">
        <v>625280283</v>
      </c>
      <c r="F349" s="161" t="n">
        <v>662</v>
      </c>
      <c r="G349" s="161" t="n">
        <v>1191</v>
      </c>
      <c r="H349" s="155" t="str">
        <f aca="false">IF(D349="Kaltwasser",F349-G349,"")</f>
        <v/>
      </c>
      <c r="I349" s="155" t="str">
        <f aca="false">IF(D349="Warmwasser",F349-G349,"")</f>
        <v/>
      </c>
      <c r="J349" s="156"/>
      <c r="M349" s="166" t="n">
        <f aca="false">IF(D349="ista",F349,"")</f>
        <v>662</v>
      </c>
    </row>
    <row r="350" customFormat="false" ht="13.5" hidden="false" customHeight="false" outlineLevel="0" collapsed="false">
      <c r="A350" s="160"/>
      <c r="B350" s="160" t="s">
        <v>455</v>
      </c>
      <c r="C350" s="160" t="s">
        <v>414</v>
      </c>
      <c r="D350" s="160" t="s">
        <v>433</v>
      </c>
      <c r="E350" s="160" t="n">
        <v>625280368</v>
      </c>
      <c r="F350" s="161" t="n">
        <v>1235</v>
      </c>
      <c r="G350" s="161" t="n">
        <v>816</v>
      </c>
      <c r="H350" s="155" t="str">
        <f aca="false">IF(D350="Kaltwasser",F350-G350,"")</f>
        <v/>
      </c>
      <c r="I350" s="155" t="str">
        <f aca="false">IF(D350="Warmwasser",F350-G350,"")</f>
        <v/>
      </c>
      <c r="J350" s="156"/>
      <c r="M350" s="165" t="n">
        <f aca="false">IF(D350="ista",F350,"")</f>
        <v>1235</v>
      </c>
    </row>
    <row r="351" customFormat="false" ht="13.5" hidden="false" customHeight="false" outlineLevel="0" collapsed="false">
      <c r="A351" s="160"/>
      <c r="B351" s="160" t="s">
        <v>455</v>
      </c>
      <c r="C351" s="160" t="s">
        <v>439</v>
      </c>
      <c r="D351" s="160" t="s">
        <v>433</v>
      </c>
      <c r="E351" s="160" t="n">
        <v>625280207</v>
      </c>
      <c r="F351" s="161" t="n">
        <v>240</v>
      </c>
      <c r="G351" s="161" t="n">
        <v>0</v>
      </c>
      <c r="H351" s="155" t="str">
        <f aca="false">IF(D351="Kaltwasser",F351-G351,"")</f>
        <v/>
      </c>
      <c r="I351" s="155" t="str">
        <f aca="false">IF(D351="Warmwasser",F351-G351,"")</f>
        <v/>
      </c>
      <c r="J351" s="156"/>
      <c r="M351" s="166" t="n">
        <f aca="false">IF(D351="ista",F351,"")</f>
        <v>240</v>
      </c>
    </row>
    <row r="352" customFormat="false" ht="13.5" hidden="false" customHeight="false" outlineLevel="0" collapsed="false">
      <c r="A352" s="160"/>
      <c r="B352" s="160" t="s">
        <v>455</v>
      </c>
      <c r="C352" s="160" t="s">
        <v>458</v>
      </c>
      <c r="D352" s="160" t="s">
        <v>433</v>
      </c>
      <c r="E352" s="160" t="n">
        <v>625280269</v>
      </c>
      <c r="F352" s="161" t="n">
        <v>1039</v>
      </c>
      <c r="G352" s="161" t="n">
        <v>0</v>
      </c>
      <c r="H352" s="155" t="str">
        <f aca="false">IF(D352="Kaltwasser",F352-G352,"")</f>
        <v/>
      </c>
      <c r="I352" s="155" t="str">
        <f aca="false">IF(D352="Warmwasser",F352-G352,"")</f>
        <v/>
      </c>
      <c r="J352" s="156"/>
      <c r="M352" s="165" t="n">
        <f aca="false">IF(D352="ista",F352,"")</f>
        <v>1039</v>
      </c>
    </row>
    <row r="353" customFormat="false" ht="13.5" hidden="false" customHeight="false" outlineLevel="0" collapsed="false">
      <c r="A353" s="160"/>
      <c r="B353" s="160" t="s">
        <v>455</v>
      </c>
      <c r="C353" s="160" t="s">
        <v>415</v>
      </c>
      <c r="D353" s="160" t="s">
        <v>433</v>
      </c>
      <c r="E353" s="160" t="s">
        <v>459</v>
      </c>
      <c r="F353" s="161"/>
      <c r="G353" s="161" t="n">
        <v>443</v>
      </c>
      <c r="H353" s="155" t="str">
        <f aca="false">IF(D353="Kaltwasser",F353-G353,"")</f>
        <v/>
      </c>
      <c r="I353" s="155" t="str">
        <f aca="false">IF(D353="Warmwasser",F353-G353,"")</f>
        <v/>
      </c>
      <c r="J353" s="156"/>
      <c r="M353" s="166" t="n">
        <f aca="false">IF(D353="ista",F353,"")</f>
        <v>0</v>
      </c>
    </row>
    <row r="354" customFormat="false" ht="13.5" hidden="false" customHeight="false" outlineLevel="0" collapsed="false">
      <c r="A354" s="160"/>
      <c r="B354" s="160" t="s">
        <v>460</v>
      </c>
      <c r="C354" s="160"/>
      <c r="D354" s="160" t="s">
        <v>433</v>
      </c>
      <c r="E354" s="160" t="n">
        <v>602560254</v>
      </c>
      <c r="F354" s="161"/>
      <c r="G354" s="161" t="n">
        <v>0</v>
      </c>
      <c r="H354" s="155" t="str">
        <f aca="false">IF(D354="Kaltwasser",F354-G354,"")</f>
        <v/>
      </c>
      <c r="I354" s="155" t="str">
        <f aca="false">IF(D354="Warmwasser",F354-G354,"")</f>
        <v/>
      </c>
      <c r="J354" s="156"/>
      <c r="M354" s="165" t="n">
        <f aca="false">IF(D354="ista",F354,"")</f>
        <v>0</v>
      </c>
    </row>
    <row r="355" customFormat="false" ht="13.5" hidden="false" customHeight="false" outlineLevel="0" collapsed="false">
      <c r="A355" s="160"/>
      <c r="B355" s="160" t="s">
        <v>461</v>
      </c>
      <c r="C355" s="160"/>
      <c r="D355" s="160" t="s">
        <v>433</v>
      </c>
      <c r="E355" s="160" t="n">
        <v>602560162</v>
      </c>
      <c r="F355" s="161"/>
      <c r="G355" s="161" t="n">
        <v>1380</v>
      </c>
      <c r="H355" s="155" t="str">
        <f aca="false">IF(D355="Kaltwasser",F355-G355,"")</f>
        <v/>
      </c>
      <c r="I355" s="155" t="str">
        <f aca="false">IF(D355="Warmwasser",F355-G355,"")</f>
        <v/>
      </c>
      <c r="J355" s="156"/>
      <c r="M355" s="166" t="n">
        <f aca="false">IF(D355="ista",F355,"")</f>
        <v>0</v>
      </c>
    </row>
    <row r="356" customFormat="false" ht="13.5" hidden="false" customHeight="false" outlineLevel="0" collapsed="false">
      <c r="A356" s="160"/>
      <c r="B356" s="160" t="s">
        <v>462</v>
      </c>
      <c r="C356" s="160"/>
      <c r="D356" s="160" t="s">
        <v>433</v>
      </c>
      <c r="E356" s="160" t="n">
        <v>625280504</v>
      </c>
      <c r="F356" s="161"/>
      <c r="G356" s="161" t="n">
        <v>0</v>
      </c>
      <c r="H356" s="155" t="str">
        <f aca="false">IF(D356="Kaltwasser",F356-G356,"")</f>
        <v/>
      </c>
      <c r="I356" s="155" t="str">
        <f aca="false">IF(D356="Warmwasser",F356-G356,"")</f>
        <v/>
      </c>
      <c r="J356" s="156"/>
      <c r="M356" s="165" t="n">
        <f aca="false">IF(D356="ista",F356,"")</f>
        <v>0</v>
      </c>
    </row>
    <row r="357" customFormat="false" ht="13.5" hidden="false" customHeight="false" outlineLevel="0" collapsed="false">
      <c r="A357" s="160"/>
      <c r="B357" s="160" t="s">
        <v>463</v>
      </c>
      <c r="C357" s="160"/>
      <c r="D357" s="160" t="s">
        <v>433</v>
      </c>
      <c r="E357" s="160" t="n">
        <v>625280405</v>
      </c>
      <c r="F357" s="161"/>
      <c r="G357" s="161" t="n">
        <v>0</v>
      </c>
      <c r="H357" s="155" t="str">
        <f aca="false">IF(D357="Kaltwasser",F357-G357,"")</f>
        <v/>
      </c>
      <c r="I357" s="155" t="str">
        <f aca="false">IF(D357="Warmwasser",F357-G357,"")</f>
        <v/>
      </c>
      <c r="J357" s="156"/>
      <c r="M357" s="166" t="n">
        <f aca="false">IF(D357="ista",F357,"")</f>
        <v>0</v>
      </c>
    </row>
    <row r="358" customFormat="false" ht="13.5" hidden="false" customHeight="false" outlineLevel="0" collapsed="false">
      <c r="A358" s="160"/>
      <c r="B358" s="160" t="s">
        <v>464</v>
      </c>
      <c r="C358" s="160"/>
      <c r="D358" s="160" t="s">
        <v>433</v>
      </c>
      <c r="E358" s="160" t="n">
        <v>620007625</v>
      </c>
      <c r="F358" s="161"/>
      <c r="G358" s="161" t="n">
        <v>0</v>
      </c>
      <c r="H358" s="155" t="str">
        <f aca="false">IF(D358="Kaltwasser",F358-G358,"")</f>
        <v/>
      </c>
      <c r="I358" s="155" t="str">
        <f aca="false">IF(D358="Warmwasser",F358-G358,"")</f>
        <v/>
      </c>
      <c r="J358" s="156"/>
      <c r="M358" s="165" t="n">
        <f aca="false">IF(D358="ista",F358,"")</f>
        <v>0</v>
      </c>
    </row>
    <row r="359" customFormat="false" ht="13.5" hidden="false" customHeight="false" outlineLevel="0" collapsed="false">
      <c r="A359" s="160"/>
      <c r="B359" s="160" t="s">
        <v>465</v>
      </c>
      <c r="C359" s="160"/>
      <c r="D359" s="160" t="s">
        <v>433</v>
      </c>
      <c r="E359" s="160" t="n">
        <v>625280429</v>
      </c>
      <c r="F359" s="161"/>
      <c r="G359" s="161" t="n">
        <v>0</v>
      </c>
      <c r="H359" s="155" t="str">
        <f aca="false">IF(D359="Kaltwasser",F359-G359,"")</f>
        <v/>
      </c>
      <c r="I359" s="155" t="str">
        <f aca="false">IF(D359="Warmwasser",F359-G359,"")</f>
        <v/>
      </c>
      <c r="J359" s="156"/>
      <c r="M359" s="166" t="n">
        <f aca="false">IF(D359="ista",F359,"")</f>
        <v>0</v>
      </c>
    </row>
    <row r="360" customFormat="false" ht="13.5" hidden="false" customHeight="false" outlineLevel="0" collapsed="false">
      <c r="A360" s="160"/>
      <c r="B360" s="160" t="s">
        <v>466</v>
      </c>
      <c r="C360" s="160"/>
      <c r="D360" s="160" t="s">
        <v>433</v>
      </c>
      <c r="E360" s="160" t="n">
        <v>630547326</v>
      </c>
      <c r="F360" s="161"/>
      <c r="G360" s="161" t="n">
        <v>471</v>
      </c>
      <c r="H360" s="155" t="str">
        <f aca="false">IF(D360="Kaltwasser",F360-G360,"")</f>
        <v/>
      </c>
      <c r="I360" s="155" t="str">
        <f aca="false">IF(D360="Warmwasser",F360-G360,"")</f>
        <v/>
      </c>
      <c r="J360" s="156"/>
      <c r="M360" s="165" t="n">
        <f aca="false">IF(D360="ista",F360,"")</f>
        <v>0</v>
      </c>
    </row>
    <row r="361" customFormat="false" ht="13.5" hidden="false" customHeight="false" outlineLevel="0" collapsed="false">
      <c r="A361" s="160"/>
      <c r="B361" s="160" t="s">
        <v>467</v>
      </c>
      <c r="C361" s="160"/>
      <c r="D361" s="160" t="s">
        <v>433</v>
      </c>
      <c r="E361" s="160" t="n">
        <v>620007526</v>
      </c>
      <c r="F361" s="161"/>
      <c r="G361" s="161" t="n">
        <v>382</v>
      </c>
      <c r="H361" s="155" t="str">
        <f aca="false">IF(D361="Kaltwasser",F361-G361,"")</f>
        <v/>
      </c>
      <c r="I361" s="155" t="str">
        <f aca="false">IF(D361="Warmwasser",F361-G361,"")</f>
        <v/>
      </c>
      <c r="J361" s="156"/>
      <c r="M361" s="166" t="n">
        <f aca="false">IF(D361="ista",F361,"")</f>
        <v>0</v>
      </c>
    </row>
    <row r="362" customFormat="false" ht="13.5" hidden="false" customHeight="false" outlineLevel="0" collapsed="false">
      <c r="A362" s="160"/>
      <c r="B362" s="160" t="s">
        <v>468</v>
      </c>
      <c r="C362" s="160"/>
      <c r="D362" s="160" t="s">
        <v>433</v>
      </c>
      <c r="E362" s="160" t="n">
        <v>620007397</v>
      </c>
      <c r="F362" s="161"/>
      <c r="G362" s="161" t="n">
        <v>580</v>
      </c>
      <c r="H362" s="155" t="str">
        <f aca="false">IF(D362="Kaltwasser",F362-G362,"")</f>
        <v/>
      </c>
      <c r="I362" s="155" t="str">
        <f aca="false">IF(D362="Warmwasser",F362-G362,"")</f>
        <v/>
      </c>
      <c r="J362" s="156"/>
      <c r="M362" s="165" t="n">
        <f aca="false">IF(D362="ista",F362,"")</f>
        <v>0</v>
      </c>
    </row>
    <row r="363" customFormat="false" ht="13.5" hidden="false" customHeight="false" outlineLevel="0" collapsed="false">
      <c r="A363" s="160"/>
      <c r="B363" s="160" t="s">
        <v>469</v>
      </c>
      <c r="C363" s="160"/>
      <c r="D363" s="160" t="s">
        <v>433</v>
      </c>
      <c r="E363" s="160" t="n">
        <v>620007601</v>
      </c>
      <c r="F363" s="161"/>
      <c r="G363" s="161" t="n">
        <v>110</v>
      </c>
      <c r="H363" s="155" t="str">
        <f aca="false">IF(D363="Kaltwasser",F363-G363,"")</f>
        <v/>
      </c>
      <c r="I363" s="155" t="str">
        <f aca="false">IF(D363="Warmwasser",F363-G363,"")</f>
        <v/>
      </c>
      <c r="J363" s="156"/>
      <c r="M363" s="166" t="n">
        <f aca="false">IF(D363="ista",F363,"")</f>
        <v>0</v>
      </c>
    </row>
    <row r="364" s="162" customFormat="true" ht="13.5" hidden="false" customHeight="false" outlineLevel="0" collapsed="false">
      <c r="A364" s="160"/>
      <c r="B364" s="160"/>
      <c r="C364" s="160"/>
      <c r="D364" s="160"/>
      <c r="E364" s="160"/>
      <c r="F364" s="161"/>
      <c r="G364" s="161"/>
      <c r="H364" s="155" t="str">
        <f aca="false">IF(D364="Kaltwasser",G364-F364,"")</f>
        <v/>
      </c>
      <c r="I364" s="155"/>
      <c r="J364" s="156"/>
    </row>
    <row r="365" s="162" customFormat="true" ht="13.5" hidden="false" customHeight="false" outlineLevel="0" collapsed="false">
      <c r="A365" s="160"/>
      <c r="B365" s="160"/>
      <c r="C365" s="160"/>
      <c r="D365" s="160"/>
      <c r="E365" s="160"/>
      <c r="F365" s="161"/>
      <c r="G365" s="161"/>
      <c r="H365" s="155"/>
      <c r="I365" s="155"/>
      <c r="J365" s="156"/>
    </row>
    <row r="366" s="162" customFormat="true" ht="13.5" hidden="false" customHeight="false" outlineLevel="0" collapsed="false">
      <c r="A366" s="160"/>
      <c r="B366" s="160" t="s">
        <v>470</v>
      </c>
      <c r="C366" s="160"/>
      <c r="D366" s="155" t="s">
        <v>436</v>
      </c>
      <c r="E366" s="160"/>
      <c r="F366" s="161"/>
      <c r="G366" s="161"/>
      <c r="H366" s="155"/>
      <c r="I366" s="155"/>
      <c r="J366" s="156"/>
    </row>
    <row r="367" customFormat="false" ht="13.5" hidden="false" customHeight="false" outlineLevel="0" collapsed="false">
      <c r="A367" s="160"/>
      <c r="B367" s="160" t="s">
        <v>471</v>
      </c>
      <c r="C367" s="160"/>
      <c r="D367" s="155" t="s">
        <v>436</v>
      </c>
      <c r="E367" s="160" t="s">
        <v>472</v>
      </c>
      <c r="F367" s="161"/>
      <c r="G367" s="161"/>
      <c r="I367" s="155" t="str">
        <f aca="false">IF(B367="Warmwasser",G367-F367,"")</f>
        <v/>
      </c>
      <c r="J367" s="156" t="str">
        <f aca="false">IF(B367="ista",F367,"")</f>
        <v/>
      </c>
    </row>
    <row r="368" customFormat="false" ht="13.5" hidden="false" customHeight="false" outlineLevel="0" collapsed="false">
      <c r="A368" s="160"/>
      <c r="B368" s="160" t="s">
        <v>473</v>
      </c>
      <c r="C368" s="160"/>
      <c r="D368" s="160" t="s">
        <v>436</v>
      </c>
      <c r="E368" s="160" t="s">
        <v>474</v>
      </c>
      <c r="F368" s="161"/>
      <c r="G368" s="161"/>
      <c r="I368" s="155" t="str">
        <f aca="false">IF(D368="Warmwasser",G368-F368,"")</f>
        <v/>
      </c>
      <c r="J368" s="156" t="str">
        <f aca="false">IF(D368="ista",F368,"")</f>
        <v/>
      </c>
    </row>
    <row r="369" customFormat="false" ht="13.5" hidden="false" customHeight="false" outlineLevel="0" collapsed="false">
      <c r="A369" s="160"/>
      <c r="B369" s="160"/>
      <c r="C369" s="160"/>
      <c r="D369" s="160"/>
      <c r="E369" s="160"/>
      <c r="F369" s="161"/>
      <c r="G369" s="161"/>
      <c r="H369" s="155" t="str">
        <f aca="false">IF(D369="Kaltwasser",G369-F369,"")</f>
        <v/>
      </c>
      <c r="I369" s="155" t="str">
        <f aca="false">IF(D369="Warmwasser",G369-F369,"")</f>
        <v/>
      </c>
      <c r="J369" s="156" t="str">
        <f aca="false">IF(D369="ista",F369,"")</f>
        <v/>
      </c>
    </row>
    <row r="370" customFormat="false" ht="13.5" hidden="false" customHeight="false" outlineLevel="0" collapsed="false">
      <c r="A370" s="160"/>
      <c r="B370" s="160"/>
      <c r="C370" s="160"/>
      <c r="D370" s="160"/>
      <c r="E370" s="160"/>
      <c r="F370" s="161"/>
      <c r="G370" s="161"/>
      <c r="H370" s="155" t="str">
        <f aca="false">IF(D370="Kaltwasser",G370-F370,"")</f>
        <v/>
      </c>
      <c r="I370" s="155" t="str">
        <f aca="false">IF(D370="Warmwasser",G370-F370,"")</f>
        <v/>
      </c>
      <c r="J370" s="156" t="str">
        <f aca="false">IF(D370="ista",F370,"")</f>
        <v/>
      </c>
    </row>
    <row r="371" customFormat="false" ht="13.5" hidden="false" customHeight="false" outlineLevel="0" collapsed="false">
      <c r="A371" s="160"/>
      <c r="B371" s="160"/>
      <c r="C371" s="160"/>
      <c r="D371" s="160"/>
      <c r="E371" s="160"/>
      <c r="F371" s="161"/>
      <c r="G371" s="161"/>
      <c r="H371" s="155" t="str">
        <f aca="false">IF(D371="Kaltwasser",G371-F371,"")</f>
        <v/>
      </c>
      <c r="I371" s="155" t="str">
        <f aca="false">IF(D371="Warmwasser",G371-F371,"")</f>
        <v/>
      </c>
      <c r="J371" s="156" t="str">
        <f aca="false">IF(D371="ista",F371,"")</f>
        <v/>
      </c>
    </row>
    <row r="372" customFormat="false" ht="13.5" hidden="false" customHeight="false" outlineLevel="0" collapsed="false">
      <c r="A372" s="160"/>
      <c r="B372" s="160"/>
      <c r="C372" s="160"/>
      <c r="D372" s="160"/>
      <c r="E372" s="160"/>
      <c r="F372" s="161"/>
      <c r="G372" s="161"/>
      <c r="H372" s="155" t="str">
        <f aca="false">IF(D372="Kaltwasser",G372-F372,"")</f>
        <v/>
      </c>
      <c r="I372" s="155" t="str">
        <f aca="false">IF(D372="Warmwasser",G372-F372,"")</f>
        <v/>
      </c>
      <c r="J372" s="156" t="str">
        <f aca="false">IF(D372="ista",F372,"")</f>
        <v/>
      </c>
    </row>
    <row r="373" customFormat="false" ht="13.5" hidden="false" customHeight="false" outlineLevel="0" collapsed="false">
      <c r="A373" s="160"/>
      <c r="B373" s="160"/>
      <c r="C373" s="160"/>
      <c r="D373" s="160"/>
      <c r="E373" s="160"/>
      <c r="F373" s="161"/>
      <c r="G373" s="161"/>
      <c r="H373" s="155" t="str">
        <f aca="false">IF(D373="Kaltwasser",G373-F373,"")</f>
        <v/>
      </c>
      <c r="I373" s="155" t="str">
        <f aca="false">IF(D373="Warmwasser",G373-F373,"")</f>
        <v/>
      </c>
      <c r="J373" s="156" t="str">
        <f aca="false">IF(D373="ista",F373,"")</f>
        <v/>
      </c>
    </row>
    <row r="374" customFormat="false" ht="13.5" hidden="false" customHeight="false" outlineLevel="0" collapsed="false">
      <c r="A374" s="160"/>
      <c r="B374" s="160"/>
      <c r="C374" s="160"/>
      <c r="D374" s="160"/>
      <c r="E374" s="160"/>
      <c r="F374" s="161"/>
      <c r="G374" s="161"/>
      <c r="H374" s="155" t="str">
        <f aca="false">IF(D374="Kaltwasser",G374-F374,"")</f>
        <v/>
      </c>
      <c r="I374" s="155" t="str">
        <f aca="false">IF(D374="Warmwasser",G374-F374,"")</f>
        <v/>
      </c>
      <c r="J374" s="156" t="str">
        <f aca="false">IF(D374="ista",F374,"")</f>
        <v/>
      </c>
    </row>
    <row r="375" customFormat="false" ht="13.5" hidden="false" customHeight="false" outlineLevel="0" collapsed="false">
      <c r="A375" s="160"/>
      <c r="B375" s="160"/>
      <c r="C375" s="160"/>
      <c r="D375" s="160"/>
      <c r="E375" s="160"/>
      <c r="F375" s="161"/>
      <c r="G375" s="161"/>
      <c r="H375" s="155" t="str">
        <f aca="false">IF(D375="Kaltwasser",G375-F375,"")</f>
        <v/>
      </c>
      <c r="I375" s="155" t="str">
        <f aca="false">IF(D375="Warmwasser",G375-F375,"")</f>
        <v/>
      </c>
      <c r="J375" s="156" t="str">
        <f aca="false">IF(D375="ista",F375,"")</f>
        <v/>
      </c>
    </row>
    <row r="376" customFormat="false" ht="13.5" hidden="false" customHeight="false" outlineLevel="0" collapsed="false">
      <c r="A376" s="160"/>
      <c r="B376" s="160"/>
      <c r="C376" s="160"/>
      <c r="D376" s="160"/>
      <c r="E376" s="160"/>
      <c r="F376" s="161"/>
      <c r="G376" s="161"/>
      <c r="H376" s="155" t="str">
        <f aca="false">IF(D376="Kaltwasser",G376-F376,"")</f>
        <v/>
      </c>
      <c r="I376" s="155" t="str">
        <f aca="false">IF(D376="Warmwasser",G376-F376,"")</f>
        <v/>
      </c>
      <c r="J376" s="156" t="str">
        <f aca="false">IF(D376="ista",F376,"")</f>
        <v/>
      </c>
    </row>
    <row r="377" customFormat="false" ht="13.5" hidden="false" customHeight="false" outlineLevel="0" collapsed="false">
      <c r="A377" s="160"/>
      <c r="B377" s="160"/>
      <c r="C377" s="160"/>
      <c r="D377" s="160"/>
      <c r="E377" s="160"/>
      <c r="F377" s="161"/>
      <c r="G377" s="161"/>
      <c r="H377" s="155" t="str">
        <f aca="false">IF(D377="Kaltwasser",G377-F377,"")</f>
        <v/>
      </c>
      <c r="I377" s="155" t="str">
        <f aca="false">IF(D377="Warmwasser",G377-F377,"")</f>
        <v/>
      </c>
      <c r="J377" s="156" t="str">
        <f aca="false">IF(D377="ista",F377,"")</f>
        <v/>
      </c>
    </row>
    <row r="378" customFormat="false" ht="13.5" hidden="false" customHeight="false" outlineLevel="0" collapsed="false">
      <c r="A378" s="160"/>
      <c r="B378" s="160"/>
      <c r="C378" s="160"/>
      <c r="D378" s="160"/>
      <c r="E378" s="160"/>
      <c r="F378" s="161"/>
      <c r="G378" s="161"/>
      <c r="H378" s="155" t="str">
        <f aca="false">IF(D378="Kaltwasser",G378-F378,"")</f>
        <v/>
      </c>
      <c r="I378" s="155" t="str">
        <f aca="false">IF(D378="Warmwasser",G378-F378,"")</f>
        <v/>
      </c>
      <c r="J378" s="156" t="str">
        <f aca="false">IF(D378="ista",F378,"")</f>
        <v/>
      </c>
    </row>
    <row r="379" customFormat="false" ht="13.5" hidden="false" customHeight="false" outlineLevel="0" collapsed="false">
      <c r="A379" s="160"/>
      <c r="B379" s="160"/>
      <c r="C379" s="160"/>
      <c r="D379" s="160"/>
      <c r="E379" s="160"/>
      <c r="F379" s="161"/>
      <c r="G379" s="161"/>
      <c r="H379" s="155" t="str">
        <f aca="false">IF(D379="Kaltwasser",G379-F379,"")</f>
        <v/>
      </c>
      <c r="I379" s="155" t="str">
        <f aca="false">IF(D379="Warmwasser",G379-F379,"")</f>
        <v/>
      </c>
      <c r="J379" s="156" t="str">
        <f aca="false">IF(D379="ista",F379,"")</f>
        <v/>
      </c>
    </row>
    <row r="380" customFormat="false" ht="13.5" hidden="false" customHeight="false" outlineLevel="0" collapsed="false">
      <c r="A380" s="160"/>
      <c r="B380" s="160"/>
      <c r="C380" s="160"/>
      <c r="D380" s="160"/>
      <c r="E380" s="160"/>
      <c r="F380" s="161"/>
      <c r="G380" s="161"/>
      <c r="H380" s="155" t="str">
        <f aca="false">IF(D380="Kaltwasser",G380-F380,"")</f>
        <v/>
      </c>
      <c r="I380" s="155" t="str">
        <f aca="false">IF(D380="Warmwasser",G380-F380,"")</f>
        <v/>
      </c>
      <c r="J380" s="156" t="str">
        <f aca="false">IF(D380="ista",F380,"")</f>
        <v/>
      </c>
    </row>
    <row r="381" customFormat="false" ht="13.5" hidden="false" customHeight="false" outlineLevel="0" collapsed="false">
      <c r="A381" s="160"/>
      <c r="B381" s="160"/>
      <c r="C381" s="160"/>
      <c r="D381" s="160"/>
      <c r="E381" s="160"/>
      <c r="F381" s="161"/>
      <c r="G381" s="161"/>
      <c r="H381" s="155" t="str">
        <f aca="false">IF(D381="Kaltwasser",G381-F381,"")</f>
        <v/>
      </c>
      <c r="I381" s="155" t="str">
        <f aca="false">IF(D381="Warmwasser",G381-F381,"")</f>
        <v/>
      </c>
      <c r="J381" s="156" t="str">
        <f aca="false">IF(D381="ista",F381,"")</f>
        <v/>
      </c>
    </row>
    <row r="382" customFormat="false" ht="13.5" hidden="false" customHeight="false" outlineLevel="0" collapsed="false">
      <c r="A382" s="160"/>
      <c r="B382" s="160"/>
      <c r="C382" s="160"/>
      <c r="D382" s="160"/>
      <c r="E382" s="160"/>
      <c r="F382" s="161"/>
      <c r="G382" s="161"/>
      <c r="H382" s="155" t="str">
        <f aca="false">IF(D382="Kaltwasser",G382-F382,"")</f>
        <v/>
      </c>
      <c r="I382" s="155" t="str">
        <f aca="false">IF(D382="Warmwasser",G382-F382,"")</f>
        <v/>
      </c>
      <c r="J382" s="156" t="str">
        <f aca="false">IF(D382="ista",F382,"")</f>
        <v/>
      </c>
    </row>
    <row r="383" customFormat="false" ht="13.5" hidden="false" customHeight="false" outlineLevel="0" collapsed="false">
      <c r="A383" s="160"/>
      <c r="B383" s="160"/>
      <c r="C383" s="160"/>
      <c r="D383" s="160"/>
      <c r="E383" s="160"/>
      <c r="F383" s="161"/>
      <c r="G383" s="161"/>
      <c r="H383" s="155" t="str">
        <f aca="false">IF(D383="Kaltwasser",G383-F383,"")</f>
        <v/>
      </c>
      <c r="I383" s="155" t="str">
        <f aca="false">IF(D383="Warmwasser",G383-F383,"")</f>
        <v/>
      </c>
      <c r="J383" s="156" t="str">
        <f aca="false">IF(D383="ista",F383,"")</f>
        <v/>
      </c>
    </row>
    <row r="384" customFormat="false" ht="13.5" hidden="false" customHeight="false" outlineLevel="0" collapsed="false">
      <c r="A384" s="160"/>
      <c r="B384" s="160"/>
      <c r="C384" s="160"/>
      <c r="D384" s="160"/>
      <c r="E384" s="160"/>
      <c r="F384" s="161"/>
      <c r="G384" s="161"/>
      <c r="H384" s="155" t="str">
        <f aca="false">IF(D384="Kaltwasser",G384-F384,"")</f>
        <v/>
      </c>
      <c r="I384" s="155" t="str">
        <f aca="false">IF(D384="Warmwasser",G384-F384,"")</f>
        <v/>
      </c>
      <c r="J384" s="156" t="str">
        <f aca="false">IF(D384="ista",F384,"")</f>
        <v/>
      </c>
    </row>
    <row r="385" customFormat="false" ht="13.5" hidden="false" customHeight="false" outlineLevel="0" collapsed="false">
      <c r="A385" s="160"/>
      <c r="B385" s="160"/>
      <c r="C385" s="160"/>
      <c r="D385" s="160"/>
      <c r="E385" s="160"/>
      <c r="F385" s="161"/>
      <c r="G385" s="161"/>
      <c r="H385" s="155" t="str">
        <f aca="false">IF(D385="Kaltwasser",G385-F385,"")</f>
        <v/>
      </c>
      <c r="I385" s="155" t="str">
        <f aca="false">IF(D385="Warmwasser",G385-F385,"")</f>
        <v/>
      </c>
      <c r="J385" s="156" t="str">
        <f aca="false">IF(D385="ista",F385,"")</f>
        <v/>
      </c>
    </row>
    <row r="386" customFormat="false" ht="13.5" hidden="false" customHeight="false" outlineLevel="0" collapsed="false">
      <c r="A386" s="160"/>
      <c r="B386" s="160"/>
      <c r="C386" s="160"/>
      <c r="D386" s="160"/>
      <c r="E386" s="160"/>
      <c r="F386" s="161"/>
      <c r="G386" s="161"/>
      <c r="H386" s="155" t="str">
        <f aca="false">IF(D386="Kaltwasser",G386-F386,"")</f>
        <v/>
      </c>
      <c r="I386" s="155" t="str">
        <f aca="false">IF(D386="Warmwasser",G386-F386,"")</f>
        <v/>
      </c>
      <c r="J386" s="156" t="str">
        <f aca="false">IF(D386="ista",F386,"")</f>
        <v/>
      </c>
    </row>
    <row r="387" customFormat="false" ht="13.5" hidden="false" customHeight="false" outlineLevel="0" collapsed="false">
      <c r="A387" s="160"/>
      <c r="B387" s="160"/>
      <c r="C387" s="160"/>
      <c r="D387" s="160"/>
      <c r="E387" s="160"/>
      <c r="F387" s="161"/>
      <c r="G387" s="161"/>
      <c r="H387" s="155" t="str">
        <f aca="false">IF(D387="Kaltwasser",G387-F387,"")</f>
        <v/>
      </c>
      <c r="I387" s="155" t="str">
        <f aca="false">IF(D387="Warmwasser",G387-F387,"")</f>
        <v/>
      </c>
      <c r="J387" s="156" t="str">
        <f aca="false">IF(D387="ista",F387,"")</f>
        <v/>
      </c>
    </row>
    <row r="388" customFormat="false" ht="13.5" hidden="false" customHeight="false" outlineLevel="0" collapsed="false">
      <c r="A388" s="160"/>
      <c r="B388" s="160"/>
      <c r="C388" s="160"/>
      <c r="D388" s="160"/>
      <c r="E388" s="160"/>
      <c r="F388" s="161"/>
      <c r="G388" s="161"/>
      <c r="H388" s="155" t="str">
        <f aca="false">IF(D388="Kaltwasser",G388-F388,"")</f>
        <v/>
      </c>
      <c r="I388" s="155" t="str">
        <f aca="false">IF(D388="Warmwasser",G388-F388,"")</f>
        <v/>
      </c>
      <c r="J388" s="156" t="str">
        <f aca="false">IF(D388="ista",F388,"")</f>
        <v/>
      </c>
    </row>
    <row r="389" customFormat="false" ht="13.5" hidden="false" customHeight="false" outlineLevel="0" collapsed="false">
      <c r="A389" s="160"/>
      <c r="B389" s="160"/>
      <c r="C389" s="160"/>
      <c r="D389" s="160"/>
      <c r="E389" s="160"/>
      <c r="F389" s="161"/>
      <c r="G389" s="161"/>
      <c r="H389" s="155" t="str">
        <f aca="false">IF(D389="Kaltwasser",G389-F389,"")</f>
        <v/>
      </c>
      <c r="I389" s="155" t="str">
        <f aca="false">IF(D389="Warmwasser",G389-F389,"")</f>
        <v/>
      </c>
      <c r="J389" s="156" t="str">
        <f aca="false">IF(D389="ista",G389,"")</f>
        <v/>
      </c>
    </row>
    <row r="390" customFormat="false" ht="13.5" hidden="false" customHeight="false" outlineLevel="0" collapsed="false">
      <c r="A390" s="160"/>
      <c r="B390" s="160"/>
      <c r="C390" s="160"/>
      <c r="D390" s="160"/>
      <c r="E390" s="160"/>
      <c r="F390" s="161"/>
      <c r="G390" s="161"/>
      <c r="H390" s="155" t="str">
        <f aca="false">IF(D390="Kaltwasser",G390-F390,"")</f>
        <v/>
      </c>
      <c r="I390" s="155" t="str">
        <f aca="false">IF(D390="Warmwasser",G390-F390,"")</f>
        <v/>
      </c>
      <c r="J390" s="156" t="str">
        <f aca="false">IF(D390="ista",G390,"")</f>
        <v/>
      </c>
    </row>
    <row r="391" customFormat="false" ht="13.5" hidden="false" customHeight="false" outlineLevel="0" collapsed="false">
      <c r="A391" s="160"/>
      <c r="B391" s="160"/>
      <c r="C391" s="160"/>
      <c r="D391" s="160"/>
      <c r="E391" s="160"/>
      <c r="F391" s="161"/>
      <c r="G391" s="161"/>
      <c r="H391" s="155" t="str">
        <f aca="false">IF(D391="Kaltwasser",G391-F391,"")</f>
        <v/>
      </c>
      <c r="I391" s="155" t="str">
        <f aca="false">IF(D391="Warmwasser",G391-F391,"")</f>
        <v/>
      </c>
      <c r="J391" s="156" t="str">
        <f aca="false">IF(D391="ista",G391,"")</f>
        <v/>
      </c>
    </row>
    <row r="392" customFormat="false" ht="13.5" hidden="false" customHeight="false" outlineLevel="0" collapsed="false">
      <c r="A392" s="160"/>
      <c r="B392" s="160"/>
      <c r="C392" s="160"/>
      <c r="D392" s="160"/>
      <c r="E392" s="160"/>
      <c r="F392" s="161"/>
      <c r="G392" s="161"/>
      <c r="H392" s="155" t="str">
        <f aca="false">IF(D392="Kaltwasser",G392-F392,"")</f>
        <v/>
      </c>
      <c r="I392" s="155" t="str">
        <f aca="false">IF(D392="Warmwasser",G392-F392,"")</f>
        <v/>
      </c>
      <c r="J392" s="156" t="str">
        <f aca="false">IF(D392="ista",G392,"")</f>
        <v/>
      </c>
    </row>
    <row r="393" customFormat="false" ht="13.5" hidden="false" customHeight="false" outlineLevel="0" collapsed="false">
      <c r="A393" s="160"/>
      <c r="B393" s="160"/>
      <c r="C393" s="160"/>
      <c r="D393" s="160"/>
      <c r="E393" s="160"/>
      <c r="F393" s="161"/>
      <c r="G393" s="161"/>
      <c r="H393" s="155" t="str">
        <f aca="false">IF(D393="Kaltwasser",G393-F393,"")</f>
        <v/>
      </c>
      <c r="I393" s="155" t="str">
        <f aca="false">IF(D393="Warmwasser",G393-F393,"")</f>
        <v/>
      </c>
      <c r="J393" s="156" t="str">
        <f aca="false">IF(D393="ista",G393,"")</f>
        <v/>
      </c>
    </row>
    <row r="394" customFormat="false" ht="13.5" hidden="false" customHeight="false" outlineLevel="0" collapsed="false">
      <c r="A394" s="160"/>
      <c r="B394" s="160"/>
      <c r="C394" s="160"/>
      <c r="D394" s="160"/>
      <c r="E394" s="160"/>
      <c r="F394" s="161"/>
      <c r="G394" s="161"/>
      <c r="H394" s="155" t="str">
        <f aca="false">IF(D394="Kaltwasser",G394-F394,"")</f>
        <v/>
      </c>
      <c r="I394" s="155" t="str">
        <f aca="false">IF(D394="Warmwasser",G394-F394,"")</f>
        <v/>
      </c>
      <c r="J394" s="156" t="str">
        <f aca="false">IF(D394="ista",G394,"")</f>
        <v/>
      </c>
    </row>
    <row r="395" customFormat="false" ht="13.5" hidden="false" customHeight="false" outlineLevel="0" collapsed="false">
      <c r="A395" s="160"/>
      <c r="B395" s="160"/>
      <c r="C395" s="160"/>
      <c r="D395" s="160"/>
      <c r="E395" s="160"/>
      <c r="F395" s="161"/>
      <c r="G395" s="161"/>
      <c r="H395" s="155" t="str">
        <f aca="false">IF(D395="Kaltwasser",G395-F395,"")</f>
        <v/>
      </c>
      <c r="I395" s="155" t="str">
        <f aca="false">IF(D395="Warmwasser",G395-F395,"")</f>
        <v/>
      </c>
      <c r="J395" s="156" t="str">
        <f aca="false">IF(D395="ista",G395,"")</f>
        <v/>
      </c>
    </row>
    <row r="396" customFormat="false" ht="13.5" hidden="false" customHeight="false" outlineLevel="0" collapsed="false">
      <c r="A396" s="160"/>
      <c r="B396" s="160"/>
      <c r="C396" s="160"/>
      <c r="D396" s="160"/>
      <c r="E396" s="160"/>
      <c r="F396" s="161"/>
      <c r="G396" s="161"/>
      <c r="H396" s="155" t="str">
        <f aca="false">IF(D396="Kaltwasser",G396-F396,"")</f>
        <v/>
      </c>
      <c r="I396" s="155" t="str">
        <f aca="false">IF(D396="Warmwasser",G396-F396,"")</f>
        <v/>
      </c>
      <c r="J396" s="156" t="str">
        <f aca="false">IF(D396="ista",G396,"")</f>
        <v/>
      </c>
    </row>
    <row r="397" customFormat="false" ht="13.5" hidden="false" customHeight="false" outlineLevel="0" collapsed="false">
      <c r="A397" s="160"/>
      <c r="B397" s="160"/>
      <c r="C397" s="160"/>
      <c r="D397" s="160"/>
      <c r="E397" s="160"/>
      <c r="F397" s="161"/>
      <c r="G397" s="161"/>
      <c r="H397" s="155" t="str">
        <f aca="false">IF(D397="Kaltwasser",G397-F397,"")</f>
        <v/>
      </c>
      <c r="I397" s="155" t="str">
        <f aca="false">IF(D397="Warmwasser",G397-F397,"")</f>
        <v/>
      </c>
      <c r="J397" s="156" t="str">
        <f aca="false">IF(D397="ista",G397,"")</f>
        <v/>
      </c>
    </row>
    <row r="398" customFormat="false" ht="13.5" hidden="false" customHeight="false" outlineLevel="0" collapsed="false">
      <c r="A398" s="160"/>
      <c r="B398" s="160"/>
      <c r="C398" s="160"/>
      <c r="D398" s="160"/>
      <c r="E398" s="160"/>
      <c r="F398" s="161"/>
      <c r="G398" s="161"/>
      <c r="H398" s="155" t="str">
        <f aca="false">IF(D398="Kaltwasser",G398-F398,"")</f>
        <v/>
      </c>
      <c r="I398" s="155" t="str">
        <f aca="false">IF(D398="Warmwasser",G398-F398,"")</f>
        <v/>
      </c>
      <c r="J398" s="156" t="str">
        <f aca="false">IF(D398="ista",G398,"")</f>
        <v/>
      </c>
    </row>
    <row r="399" customFormat="false" ht="13.5" hidden="false" customHeight="false" outlineLevel="0" collapsed="false">
      <c r="A399" s="160"/>
      <c r="B399" s="160"/>
      <c r="C399" s="160"/>
      <c r="D399" s="160"/>
      <c r="E399" s="160"/>
      <c r="F399" s="161"/>
      <c r="G399" s="161"/>
      <c r="H399" s="155" t="str">
        <f aca="false">IF(D399="Kaltwasser",G399-F399,"")</f>
        <v/>
      </c>
      <c r="I399" s="155" t="str">
        <f aca="false">IF(D399="Warmwasser",G399-F399,"")</f>
        <v/>
      </c>
      <c r="J399" s="156" t="str">
        <f aca="false">IF(D399="ista",G399,"")</f>
        <v/>
      </c>
    </row>
    <row r="400" customFormat="false" ht="13.5" hidden="false" customHeight="false" outlineLevel="0" collapsed="false">
      <c r="A400" s="160"/>
      <c r="B400" s="160"/>
      <c r="C400" s="160"/>
      <c r="D400" s="160"/>
      <c r="E400" s="160"/>
      <c r="F400" s="161"/>
      <c r="G400" s="161"/>
      <c r="H400" s="155" t="str">
        <f aca="false">IF(D400="Kaltwasser",G400-F400,"")</f>
        <v/>
      </c>
      <c r="I400" s="155" t="str">
        <f aca="false">IF(D400="Warmwasser",G400-F400,"")</f>
        <v/>
      </c>
      <c r="J400" s="156" t="str">
        <f aca="false">IF(D400="ista",G400,"")</f>
        <v/>
      </c>
    </row>
    <row r="401" customFormat="false" ht="13.5" hidden="false" customHeight="false" outlineLevel="0" collapsed="false">
      <c r="A401" s="160"/>
      <c r="B401" s="160"/>
      <c r="C401" s="160"/>
      <c r="D401" s="160"/>
      <c r="E401" s="160"/>
      <c r="F401" s="161"/>
      <c r="G401" s="161"/>
      <c r="H401" s="155" t="str">
        <f aca="false">IF(D401="Kaltwasser",G401-F401,"")</f>
        <v/>
      </c>
      <c r="I401" s="155" t="str">
        <f aca="false">IF(D401="Warmwasser",G401-F401,"")</f>
        <v/>
      </c>
      <c r="J401" s="156" t="str">
        <f aca="false">IF(D401="ista",G401,"")</f>
        <v/>
      </c>
    </row>
    <row r="402" customFormat="false" ht="13.5" hidden="false" customHeight="false" outlineLevel="0" collapsed="false">
      <c r="A402" s="160"/>
      <c r="B402" s="160"/>
      <c r="C402" s="160"/>
      <c r="D402" s="160"/>
      <c r="E402" s="160"/>
      <c r="F402" s="161"/>
      <c r="G402" s="161"/>
      <c r="H402" s="155" t="str">
        <f aca="false">IF(D402="Kaltwasser",G402-F402,"")</f>
        <v/>
      </c>
      <c r="I402" s="155" t="str">
        <f aca="false">IF(D402="Warmwasser",G402-F402,"")</f>
        <v/>
      </c>
      <c r="J402" s="156" t="str">
        <f aca="false">IF(D402="ista",G402,"")</f>
        <v/>
      </c>
    </row>
    <row r="403" customFormat="false" ht="13.5" hidden="false" customHeight="false" outlineLevel="0" collapsed="false">
      <c r="A403" s="160"/>
      <c r="B403" s="160"/>
      <c r="C403" s="160"/>
      <c r="D403" s="160"/>
      <c r="E403" s="160"/>
      <c r="F403" s="161"/>
      <c r="G403" s="161"/>
      <c r="H403" s="155" t="str">
        <f aca="false">IF(D403="Kaltwasser",G403-F403,"")</f>
        <v/>
      </c>
      <c r="I403" s="155" t="str">
        <f aca="false">IF(D403="Warmwasser",G403-F403,"")</f>
        <v/>
      </c>
      <c r="J403" s="156" t="str">
        <f aca="false">IF(D403="ista",G403,"")</f>
        <v/>
      </c>
    </row>
    <row r="404" customFormat="false" ht="13.5" hidden="false" customHeight="false" outlineLevel="0" collapsed="false">
      <c r="A404" s="160"/>
      <c r="B404" s="160"/>
      <c r="C404" s="160"/>
      <c r="D404" s="160"/>
      <c r="E404" s="160"/>
      <c r="F404" s="161"/>
      <c r="G404" s="161"/>
      <c r="H404" s="155" t="str">
        <f aca="false">IF(D404="Kaltwasser",G404-F404,"")</f>
        <v/>
      </c>
      <c r="I404" s="155" t="str">
        <f aca="false">IF(D404="Warmwasser",G404-F404,"")</f>
        <v/>
      </c>
      <c r="J404" s="156" t="str">
        <f aca="false">IF(D404="ista",G404,"")</f>
        <v/>
      </c>
    </row>
    <row r="405" customFormat="false" ht="13.5" hidden="false" customHeight="false" outlineLevel="0" collapsed="false">
      <c r="A405" s="160"/>
      <c r="B405" s="160"/>
      <c r="C405" s="160"/>
      <c r="D405" s="160"/>
      <c r="E405" s="160"/>
      <c r="F405" s="161"/>
      <c r="G405" s="161"/>
      <c r="H405" s="155" t="str">
        <f aca="false">IF(D405="Kaltwasser",G405-F405,"")</f>
        <v/>
      </c>
      <c r="I405" s="155" t="str">
        <f aca="false">IF(D405="Warmwasser",G405-F405,"")</f>
        <v/>
      </c>
      <c r="J405" s="156" t="str">
        <f aca="false">IF(D405="ista",G405,"")</f>
        <v/>
      </c>
    </row>
    <row r="406" customFormat="false" ht="13.5" hidden="false" customHeight="false" outlineLevel="0" collapsed="false">
      <c r="A406" s="160"/>
      <c r="B406" s="160"/>
      <c r="C406" s="160"/>
      <c r="D406" s="160"/>
      <c r="E406" s="160"/>
      <c r="F406" s="161"/>
      <c r="G406" s="161"/>
      <c r="H406" s="155" t="str">
        <f aca="false">IF(D406="Kaltwasser",G406-F406,"")</f>
        <v/>
      </c>
      <c r="I406" s="155" t="str">
        <f aca="false">IF(D406="Warmwasser",G406-F406,"")</f>
        <v/>
      </c>
      <c r="J406" s="156" t="str">
        <f aca="false">IF(D406="ista",G406,"")</f>
        <v/>
      </c>
    </row>
    <row r="407" customFormat="false" ht="13.5" hidden="false" customHeight="false" outlineLevel="0" collapsed="false">
      <c r="A407" s="160"/>
      <c r="B407" s="160"/>
      <c r="C407" s="160"/>
      <c r="D407" s="160"/>
      <c r="E407" s="160"/>
      <c r="F407" s="161"/>
      <c r="G407" s="161"/>
      <c r="H407" s="155" t="str">
        <f aca="false">IF(D407="Kaltwasser",G407-F407,"")</f>
        <v/>
      </c>
      <c r="I407" s="155" t="str">
        <f aca="false">IF(D407="Warmwasser",G407-F407,"")</f>
        <v/>
      </c>
      <c r="J407" s="156" t="str">
        <f aca="false">IF(D407="ista",G407,"")</f>
        <v/>
      </c>
    </row>
    <row r="408" customFormat="false" ht="13.5" hidden="false" customHeight="false" outlineLevel="0" collapsed="false">
      <c r="A408" s="160"/>
      <c r="B408" s="160"/>
      <c r="C408" s="160"/>
      <c r="D408" s="160"/>
      <c r="E408" s="160"/>
      <c r="F408" s="161"/>
      <c r="G408" s="161"/>
      <c r="H408" s="155" t="str">
        <f aca="false">IF(D408="Kaltwasser",G408-F408,"")</f>
        <v/>
      </c>
      <c r="I408" s="155" t="str">
        <f aca="false">IF(D408="Warmwasser",G408-F408,"")</f>
        <v/>
      </c>
      <c r="J408" s="156" t="str">
        <f aca="false">IF(D408="ista",G408,"")</f>
        <v/>
      </c>
    </row>
    <row r="409" customFormat="false" ht="13.5" hidden="false" customHeight="false" outlineLevel="0" collapsed="false">
      <c r="A409" s="160"/>
      <c r="B409" s="160"/>
      <c r="C409" s="160"/>
      <c r="D409" s="160"/>
      <c r="E409" s="160"/>
      <c r="F409" s="161"/>
      <c r="G409" s="161"/>
      <c r="H409" s="155" t="str">
        <f aca="false">IF(D409="Kaltwasser",G409-F409,"")</f>
        <v/>
      </c>
      <c r="I409" s="155" t="str">
        <f aca="false">IF(D409="Warmwasser",G409-F409,"")</f>
        <v/>
      </c>
      <c r="J409" s="156" t="str">
        <f aca="false">IF(D409="ista",G409,"")</f>
        <v/>
      </c>
    </row>
    <row r="410" customFormat="false" ht="13.5" hidden="false" customHeight="false" outlineLevel="0" collapsed="false">
      <c r="A410" s="160"/>
      <c r="B410" s="160"/>
      <c r="C410" s="160"/>
      <c r="D410" s="160"/>
      <c r="E410" s="160"/>
      <c r="F410" s="161"/>
      <c r="G410" s="161"/>
      <c r="H410" s="155" t="str">
        <f aca="false">IF(D410="Kaltwasser",G410-F410,"")</f>
        <v/>
      </c>
      <c r="I410" s="155" t="str">
        <f aca="false">IF(D410="Warmwasser",G410-F410,"")</f>
        <v/>
      </c>
      <c r="J410" s="156" t="str">
        <f aca="false">IF(D410="ista",G410,"")</f>
        <v/>
      </c>
    </row>
    <row r="411" customFormat="false" ht="13.5" hidden="false" customHeight="false" outlineLevel="0" collapsed="false">
      <c r="A411" s="160"/>
      <c r="B411" s="160"/>
      <c r="C411" s="160"/>
      <c r="D411" s="160"/>
      <c r="E411" s="160"/>
      <c r="F411" s="161"/>
      <c r="G411" s="161"/>
      <c r="H411" s="155" t="str">
        <f aca="false">IF(D411="Kaltwasser",G411-F411,"")</f>
        <v/>
      </c>
      <c r="I411" s="155" t="str">
        <f aca="false">IF(D411="Warmwasser",G411-F411,"")</f>
        <v/>
      </c>
      <c r="J411" s="156" t="str">
        <f aca="false">IF(D411="ista",G411,"")</f>
        <v/>
      </c>
    </row>
    <row r="412" customFormat="false" ht="13.5" hidden="false" customHeight="false" outlineLevel="0" collapsed="false">
      <c r="A412" s="160"/>
      <c r="B412" s="160"/>
      <c r="C412" s="160"/>
      <c r="D412" s="160"/>
      <c r="E412" s="160"/>
      <c r="F412" s="161"/>
      <c r="G412" s="161"/>
      <c r="H412" s="155" t="str">
        <f aca="false">IF(D412="Kaltwasser",G412-F412,"")</f>
        <v/>
      </c>
      <c r="I412" s="155" t="str">
        <f aca="false">IF(D412="Warmwasser",G412-F412,"")</f>
        <v/>
      </c>
      <c r="J412" s="156" t="str">
        <f aca="false">IF(D412="ista",G412,"")</f>
        <v/>
      </c>
    </row>
    <row r="413" customFormat="false" ht="13.5" hidden="false" customHeight="false" outlineLevel="0" collapsed="false">
      <c r="A413" s="160"/>
      <c r="B413" s="160"/>
      <c r="C413" s="160"/>
      <c r="D413" s="160"/>
      <c r="E413" s="160"/>
      <c r="F413" s="161"/>
      <c r="G413" s="161"/>
      <c r="H413" s="155" t="str">
        <f aca="false">IF(D413="Kaltwasser",G413-F413,"")</f>
        <v/>
      </c>
      <c r="I413" s="155" t="str">
        <f aca="false">IF(D413="Warmwasser",G413-F413,"")</f>
        <v/>
      </c>
      <c r="J413" s="156" t="str">
        <f aca="false">IF(D413="ista",G413,"")</f>
        <v/>
      </c>
    </row>
    <row r="414" customFormat="false" ht="13.5" hidden="false" customHeight="false" outlineLevel="0" collapsed="false">
      <c r="A414" s="160"/>
      <c r="B414" s="160"/>
      <c r="C414" s="160"/>
      <c r="D414" s="160"/>
      <c r="E414" s="160"/>
      <c r="F414" s="161"/>
      <c r="G414" s="161"/>
      <c r="H414" s="155" t="str">
        <f aca="false">IF(D414="Kaltwasser",G414-F414,"")</f>
        <v/>
      </c>
      <c r="I414" s="155" t="str">
        <f aca="false">IF(D414="Warmwasser",G414-F414,"")</f>
        <v/>
      </c>
      <c r="J414" s="156" t="str">
        <f aca="false">IF(D414="ista",G414,"")</f>
        <v/>
      </c>
    </row>
    <row r="415" customFormat="false" ht="13.5" hidden="false" customHeight="false" outlineLevel="0" collapsed="false">
      <c r="A415" s="160"/>
      <c r="B415" s="160"/>
      <c r="C415" s="160"/>
      <c r="D415" s="160"/>
      <c r="E415" s="160"/>
      <c r="F415" s="161"/>
      <c r="G415" s="161"/>
      <c r="H415" s="155" t="str">
        <f aca="false">IF(D415="Kaltwasser",G415-F415,"")</f>
        <v/>
      </c>
      <c r="I415" s="155" t="str">
        <f aca="false">IF(D415="Warmwasser",G415-F415,"")</f>
        <v/>
      </c>
      <c r="J415" s="156" t="str">
        <f aca="false">IF(D415="ista",G415,"")</f>
        <v/>
      </c>
    </row>
    <row r="416" customFormat="false" ht="13.5" hidden="false" customHeight="false" outlineLevel="0" collapsed="false">
      <c r="A416" s="160"/>
      <c r="B416" s="160"/>
      <c r="C416" s="160"/>
      <c r="D416" s="160"/>
      <c r="E416" s="160"/>
      <c r="F416" s="161"/>
      <c r="G416" s="161"/>
      <c r="H416" s="155" t="str">
        <f aca="false">IF(D416="Kaltwasser",G416-F416,"")</f>
        <v/>
      </c>
      <c r="I416" s="155" t="str">
        <f aca="false">IF(D416="Warmwasser",G416-F416,"")</f>
        <v/>
      </c>
      <c r="J416" s="156" t="str">
        <f aca="false">IF(D416="ista",G416,"")</f>
        <v/>
      </c>
    </row>
    <row r="417" customFormat="false" ht="13.5" hidden="false" customHeight="false" outlineLevel="0" collapsed="false">
      <c r="A417" s="160"/>
      <c r="B417" s="160"/>
      <c r="C417" s="160"/>
      <c r="D417" s="160"/>
      <c r="E417" s="160"/>
      <c r="F417" s="161"/>
      <c r="G417" s="161"/>
      <c r="H417" s="155" t="str">
        <f aca="false">IF(D417="Kaltwasser",G417-F417,"")</f>
        <v/>
      </c>
      <c r="I417" s="155" t="str">
        <f aca="false">IF(D417="Warmwasser",G417-F417,"")</f>
        <v/>
      </c>
      <c r="J417" s="156" t="str">
        <f aca="false">IF(D417="ista",G417,"")</f>
        <v/>
      </c>
    </row>
    <row r="418" customFormat="false" ht="13.5" hidden="false" customHeight="false" outlineLevel="0" collapsed="false">
      <c r="A418" s="160"/>
      <c r="B418" s="160"/>
      <c r="C418" s="160"/>
      <c r="D418" s="160"/>
      <c r="E418" s="160"/>
      <c r="F418" s="161"/>
      <c r="G418" s="161"/>
      <c r="H418" s="155" t="str">
        <f aca="false">IF(D418="Kaltwasser",G418-F418,"")</f>
        <v/>
      </c>
      <c r="I418" s="155" t="str">
        <f aca="false">IF(D418="Warmwasser",G418-F418,"")</f>
        <v/>
      </c>
      <c r="J418" s="156" t="str">
        <f aca="false">IF(D418="ista",G418,"")</f>
        <v/>
      </c>
    </row>
    <row r="419" customFormat="false" ht="13.5" hidden="false" customHeight="false" outlineLevel="0" collapsed="false">
      <c r="A419" s="160"/>
      <c r="B419" s="160"/>
      <c r="C419" s="160"/>
      <c r="D419" s="160"/>
      <c r="E419" s="160"/>
      <c r="F419" s="161"/>
      <c r="G419" s="161"/>
      <c r="H419" s="155" t="str">
        <f aca="false">IF(D419="Kaltwasser",G419-F419,"")</f>
        <v/>
      </c>
      <c r="I419" s="155" t="str">
        <f aca="false">IF(D419="Warmwasser",G419-F419,"")</f>
        <v/>
      </c>
      <c r="J419" s="156" t="str">
        <f aca="false">IF(D419="ista",G419,"")</f>
        <v/>
      </c>
    </row>
    <row r="420" customFormat="false" ht="13.5" hidden="false" customHeight="false" outlineLevel="0" collapsed="false">
      <c r="A420" s="160"/>
      <c r="B420" s="160"/>
      <c r="C420" s="160"/>
      <c r="D420" s="160"/>
      <c r="E420" s="160"/>
      <c r="F420" s="161"/>
      <c r="G420" s="161"/>
      <c r="H420" s="155" t="str">
        <f aca="false">IF(D420="Kaltwasser",G420-F420,"")</f>
        <v/>
      </c>
      <c r="I420" s="155" t="str">
        <f aca="false">IF(D420="Warmwasser",G420-F420,"")</f>
        <v/>
      </c>
      <c r="J420" s="156" t="str">
        <f aca="false">IF(D420="ista",G420,"")</f>
        <v/>
      </c>
    </row>
    <row r="421" customFormat="false" ht="13.5" hidden="false" customHeight="false" outlineLevel="0" collapsed="false">
      <c r="A421" s="160"/>
      <c r="B421" s="160"/>
      <c r="C421" s="160"/>
      <c r="D421" s="160"/>
      <c r="E421" s="160"/>
      <c r="F421" s="161"/>
      <c r="G421" s="161"/>
      <c r="H421" s="155" t="str">
        <f aca="false">IF(D421="Kaltwasser",G421-F421,"")</f>
        <v/>
      </c>
      <c r="I421" s="155" t="str">
        <f aca="false">IF(D421="Warmwasser",G421-F421,"")</f>
        <v/>
      </c>
      <c r="J421" s="156" t="str">
        <f aca="false">IF(D421="ista",G421,"")</f>
        <v/>
      </c>
    </row>
    <row r="422" customFormat="false" ht="13.5" hidden="false" customHeight="false" outlineLevel="0" collapsed="false">
      <c r="A422" s="160"/>
      <c r="B422" s="160"/>
      <c r="C422" s="160"/>
      <c r="D422" s="160"/>
      <c r="E422" s="160"/>
      <c r="F422" s="161"/>
      <c r="G422" s="161"/>
      <c r="H422" s="155" t="str">
        <f aca="false">IF(D422="Kaltwasser",G422-F422,"")</f>
        <v/>
      </c>
      <c r="I422" s="155" t="str">
        <f aca="false">IF(D422="Warmwasser",G422-F422,"")</f>
        <v/>
      </c>
      <c r="J422" s="156" t="str">
        <f aca="false">IF(D422="ista",G422,"")</f>
        <v/>
      </c>
    </row>
    <row r="423" customFormat="false" ht="13.5" hidden="false" customHeight="false" outlineLevel="0" collapsed="false">
      <c r="A423" s="160"/>
      <c r="B423" s="160"/>
      <c r="C423" s="160"/>
      <c r="D423" s="160"/>
      <c r="E423" s="160"/>
      <c r="F423" s="161"/>
      <c r="G423" s="161"/>
      <c r="H423" s="155" t="str">
        <f aca="false">IF(D423="Kaltwasser",G423-F423,"")</f>
        <v/>
      </c>
      <c r="I423" s="155" t="str">
        <f aca="false">IF(D423="Warmwasser",G423-F423,"")</f>
        <v/>
      </c>
      <c r="J423" s="156" t="str">
        <f aca="false">IF(D423="ista",G423,"")</f>
        <v/>
      </c>
    </row>
    <row r="424" customFormat="false" ht="13.5" hidden="false" customHeight="false" outlineLevel="0" collapsed="false">
      <c r="A424" s="160"/>
      <c r="B424" s="160"/>
      <c r="C424" s="160"/>
      <c r="D424" s="160"/>
      <c r="E424" s="160"/>
      <c r="F424" s="161"/>
      <c r="G424" s="161"/>
      <c r="H424" s="155" t="str">
        <f aca="false">IF(D424="Kaltwasser",G424-F424,"")</f>
        <v/>
      </c>
      <c r="I424" s="155" t="str">
        <f aca="false">IF(D424="Warmwasser",G424-F424,"")</f>
        <v/>
      </c>
      <c r="J424" s="156" t="str">
        <f aca="false">IF(D424="ista",G424,"")</f>
        <v/>
      </c>
    </row>
    <row r="425" customFormat="false" ht="13.5" hidden="false" customHeight="false" outlineLevel="0" collapsed="false">
      <c r="A425" s="160"/>
      <c r="B425" s="160"/>
      <c r="C425" s="160"/>
      <c r="D425" s="160"/>
      <c r="E425" s="160"/>
      <c r="F425" s="161"/>
      <c r="G425" s="161"/>
      <c r="H425" s="155" t="str">
        <f aca="false">IF(D425="Kaltwasser",G425-F425,"")</f>
        <v/>
      </c>
      <c r="I425" s="155" t="str">
        <f aca="false">IF(D425="Warmwasser",G425-F425,"")</f>
        <v/>
      </c>
      <c r="J425" s="156" t="str">
        <f aca="false">IF(D425="ista",G425,"")</f>
        <v/>
      </c>
    </row>
    <row r="426" customFormat="false" ht="13.5" hidden="false" customHeight="false" outlineLevel="0" collapsed="false">
      <c r="A426" s="160"/>
      <c r="B426" s="160"/>
      <c r="C426" s="160"/>
      <c r="D426" s="160"/>
      <c r="E426" s="160"/>
      <c r="F426" s="161"/>
      <c r="G426" s="161"/>
      <c r="H426" s="155" t="str">
        <f aca="false">IF(D426="Kaltwasser",G426-F426,"")</f>
        <v/>
      </c>
      <c r="I426" s="155" t="str">
        <f aca="false">IF(D426="Warmwasser",G426-F426,"")</f>
        <v/>
      </c>
      <c r="J426" s="156" t="str">
        <f aca="false">IF(D426="ista",G426,"")</f>
        <v/>
      </c>
    </row>
    <row r="427" customFormat="false" ht="13.5" hidden="false" customHeight="false" outlineLevel="0" collapsed="false">
      <c r="A427" s="160"/>
      <c r="B427" s="160"/>
      <c r="C427" s="160"/>
      <c r="D427" s="160"/>
      <c r="E427" s="160"/>
      <c r="F427" s="161"/>
      <c r="G427" s="161"/>
      <c r="H427" s="155" t="str">
        <f aca="false">IF(D427="Kaltwasser",G427-F427,"")</f>
        <v/>
      </c>
      <c r="I427" s="155" t="str">
        <f aca="false">IF(D427="Warmwasser",G427-F427,"")</f>
        <v/>
      </c>
      <c r="J427" s="156" t="str">
        <f aca="false">IF(D427="ista",G427,"")</f>
        <v/>
      </c>
    </row>
    <row r="428" customFormat="false" ht="13.5" hidden="false" customHeight="false" outlineLevel="0" collapsed="false">
      <c r="A428" s="160"/>
      <c r="B428" s="160"/>
      <c r="C428" s="160"/>
      <c r="D428" s="160"/>
      <c r="E428" s="160"/>
      <c r="F428" s="161"/>
      <c r="G428" s="161"/>
      <c r="H428" s="155" t="str">
        <f aca="false">IF(D428="Kaltwasser",G428-F428,"")</f>
        <v/>
      </c>
      <c r="I428" s="155" t="str">
        <f aca="false">IF(D428="Warmwasser",G428-F428,"")</f>
        <v/>
      </c>
      <c r="J428" s="156" t="str">
        <f aca="false">IF(D428="ista",G428,"")</f>
        <v/>
      </c>
    </row>
    <row r="429" customFormat="false" ht="13.5" hidden="false" customHeight="false" outlineLevel="0" collapsed="false">
      <c r="A429" s="160"/>
      <c r="B429" s="160"/>
      <c r="C429" s="160"/>
      <c r="D429" s="160"/>
      <c r="E429" s="160"/>
      <c r="F429" s="161"/>
      <c r="G429" s="161"/>
      <c r="H429" s="155" t="str">
        <f aca="false">IF(D429="Kaltwasser",G429-F429,"")</f>
        <v/>
      </c>
      <c r="I429" s="155" t="str">
        <f aca="false">IF(D429="Warmwasser",G429-F429,"")</f>
        <v/>
      </c>
      <c r="J429" s="156" t="str">
        <f aca="false">IF(D429="ista",G429,"")</f>
        <v/>
      </c>
    </row>
    <row r="430" customFormat="false" ht="13.5" hidden="false" customHeight="false" outlineLevel="0" collapsed="false">
      <c r="A430" s="160"/>
      <c r="B430" s="160"/>
      <c r="C430" s="160"/>
      <c r="D430" s="160"/>
      <c r="E430" s="160"/>
      <c r="F430" s="161"/>
      <c r="G430" s="161"/>
      <c r="H430" s="155" t="str">
        <f aca="false">IF(D430="Kaltwasser",G430-F430,"")</f>
        <v/>
      </c>
      <c r="I430" s="155" t="str">
        <f aca="false">IF(D430="Warmwasser",G430-F430,"")</f>
        <v/>
      </c>
      <c r="J430" s="156" t="str">
        <f aca="false">IF(D430="ista",G430,"")</f>
        <v/>
      </c>
    </row>
    <row r="431" customFormat="false" ht="13.5" hidden="false" customHeight="false" outlineLevel="0" collapsed="false">
      <c r="A431" s="160"/>
      <c r="B431" s="160"/>
      <c r="C431" s="160"/>
      <c r="D431" s="160"/>
      <c r="E431" s="160"/>
      <c r="F431" s="161"/>
      <c r="G431" s="161"/>
      <c r="H431" s="155" t="str">
        <f aca="false">IF(D431="Kaltwasser",G431-F431,"")</f>
        <v/>
      </c>
      <c r="I431" s="155" t="str">
        <f aca="false">IF(D431="Warmwasser",G431-F431,"")</f>
        <v/>
      </c>
      <c r="J431" s="156" t="str">
        <f aca="false">IF(D431="ista",G431,"")</f>
        <v/>
      </c>
    </row>
    <row r="432" customFormat="false" ht="13.5" hidden="false" customHeight="false" outlineLevel="0" collapsed="false">
      <c r="A432" s="160"/>
      <c r="B432" s="160"/>
      <c r="C432" s="160"/>
      <c r="D432" s="160"/>
      <c r="E432" s="160"/>
      <c r="F432" s="161"/>
      <c r="G432" s="161"/>
      <c r="H432" s="155" t="str">
        <f aca="false">IF(D432="Kaltwasser",G432-F432,"")</f>
        <v/>
      </c>
      <c r="I432" s="155" t="str">
        <f aca="false">IF(D432="Warmwasser",G432-F432,"")</f>
        <v/>
      </c>
      <c r="J432" s="156" t="str">
        <f aca="false">IF(D432="ista",G432,"")</f>
        <v/>
      </c>
    </row>
    <row r="433" customFormat="false" ht="13.5" hidden="false" customHeight="false" outlineLevel="0" collapsed="false">
      <c r="A433" s="160"/>
      <c r="B433" s="160"/>
      <c r="C433" s="160"/>
      <c r="D433" s="160"/>
      <c r="E433" s="160"/>
      <c r="F433" s="161"/>
      <c r="G433" s="161"/>
      <c r="H433" s="155" t="str">
        <f aca="false">IF(D433="Kaltwasser",G433-F433,"")</f>
        <v/>
      </c>
      <c r="I433" s="155" t="str">
        <f aca="false">IF(D433="Warmwasser",G433-F433,"")</f>
        <v/>
      </c>
      <c r="J433" s="156" t="str">
        <f aca="false">IF(D433="ista",G433,"")</f>
        <v/>
      </c>
    </row>
    <row r="434" customFormat="false" ht="13.5" hidden="false" customHeight="false" outlineLevel="0" collapsed="false">
      <c r="A434" s="160"/>
      <c r="B434" s="160"/>
      <c r="C434" s="160"/>
      <c r="D434" s="160"/>
      <c r="E434" s="160"/>
      <c r="F434" s="161"/>
      <c r="G434" s="161"/>
      <c r="H434" s="155" t="str">
        <f aca="false">IF(D434="Kaltwasser",G434-F434,"")</f>
        <v/>
      </c>
      <c r="I434" s="155" t="str">
        <f aca="false">IF(D434="Warmwasser",G434-F434,"")</f>
        <v/>
      </c>
      <c r="J434" s="156" t="str">
        <f aca="false">IF(D434="ista",G434,"")</f>
        <v/>
      </c>
    </row>
    <row r="435" customFormat="false" ht="13.5" hidden="false" customHeight="false" outlineLevel="0" collapsed="false">
      <c r="A435" s="160"/>
      <c r="B435" s="160"/>
      <c r="C435" s="160"/>
      <c r="D435" s="160"/>
      <c r="E435" s="160"/>
      <c r="F435" s="161"/>
      <c r="G435" s="161"/>
      <c r="H435" s="155" t="str">
        <f aca="false">IF(D435="Kaltwasser",G435-F435,"")</f>
        <v/>
      </c>
      <c r="I435" s="155" t="str">
        <f aca="false">IF(D435="Warmwasser",G435-F435,"")</f>
        <v/>
      </c>
      <c r="J435" s="156" t="str">
        <f aca="false">IF(D435="ista",G435,"")</f>
        <v/>
      </c>
    </row>
    <row r="436" customFormat="false" ht="13.5" hidden="false" customHeight="false" outlineLevel="0" collapsed="false">
      <c r="A436" s="160"/>
      <c r="B436" s="160"/>
      <c r="C436" s="160"/>
      <c r="D436" s="160"/>
      <c r="E436" s="160"/>
      <c r="F436" s="161"/>
      <c r="G436" s="161"/>
      <c r="H436" s="155" t="str">
        <f aca="false">IF(D436="Kaltwasser",G436-F436,"")</f>
        <v/>
      </c>
      <c r="I436" s="155" t="str">
        <f aca="false">IF(D436="Warmwasser",G436-F436,"")</f>
        <v/>
      </c>
      <c r="J436" s="156" t="str">
        <f aca="false">IF(D436="ista",G436,"")</f>
        <v/>
      </c>
    </row>
    <row r="437" customFormat="false" ht="13.5" hidden="false" customHeight="false" outlineLevel="0" collapsed="false">
      <c r="A437" s="160"/>
      <c r="B437" s="160"/>
      <c r="C437" s="160"/>
      <c r="D437" s="160"/>
      <c r="E437" s="160"/>
      <c r="F437" s="161"/>
      <c r="G437" s="161"/>
      <c r="H437" s="155" t="str">
        <f aca="false">IF(D437="Kaltwasser",G437-F437,"")</f>
        <v/>
      </c>
      <c r="I437" s="155" t="str">
        <f aca="false">IF(D437="Warmwasser",G437-F437,"")</f>
        <v/>
      </c>
      <c r="J437" s="156" t="str">
        <f aca="false">IF(D437="ista",G437,"")</f>
        <v/>
      </c>
    </row>
    <row r="438" customFormat="false" ht="13.5" hidden="false" customHeight="false" outlineLevel="0" collapsed="false">
      <c r="A438" s="160"/>
      <c r="B438" s="160"/>
      <c r="C438" s="160"/>
      <c r="D438" s="160"/>
      <c r="E438" s="160"/>
      <c r="F438" s="161"/>
      <c r="G438" s="161"/>
      <c r="H438" s="155" t="str">
        <f aca="false">IF(D438="Kaltwasser",G438-F438,"")</f>
        <v/>
      </c>
      <c r="I438" s="155" t="str">
        <f aca="false">IF(D438="Warmwasser",G438-F438,"")</f>
        <v/>
      </c>
      <c r="J438" s="156" t="str">
        <f aca="false">IF(D438="ista",G438,"")</f>
        <v/>
      </c>
    </row>
    <row r="439" customFormat="false" ht="13.5" hidden="false" customHeight="false" outlineLevel="0" collapsed="false">
      <c r="A439" s="160"/>
      <c r="B439" s="160"/>
      <c r="C439" s="160"/>
      <c r="D439" s="160"/>
      <c r="E439" s="160"/>
      <c r="F439" s="161"/>
      <c r="G439" s="161"/>
      <c r="H439" s="155" t="str">
        <f aca="false">IF(D439="Kaltwasser",G439-F439,"")</f>
        <v/>
      </c>
      <c r="I439" s="155" t="str">
        <f aca="false">IF(D439="Warmwasser",G439-F439,"")</f>
        <v/>
      </c>
      <c r="J439" s="156" t="str">
        <f aca="false">IF(D439="ista",G439,"")</f>
        <v/>
      </c>
    </row>
    <row r="440" customFormat="false" ht="13.5" hidden="false" customHeight="false" outlineLevel="0" collapsed="false">
      <c r="A440" s="160"/>
      <c r="B440" s="160"/>
      <c r="C440" s="160"/>
      <c r="D440" s="160"/>
      <c r="E440" s="160"/>
      <c r="F440" s="161"/>
      <c r="G440" s="161"/>
      <c r="H440" s="155" t="str">
        <f aca="false">IF(D440="Kaltwasser",G440-F440,"")</f>
        <v/>
      </c>
      <c r="I440" s="155" t="str">
        <f aca="false">IF(D440="Warmwasser",G440-F440,"")</f>
        <v/>
      </c>
      <c r="J440" s="156" t="str">
        <f aca="false">IF(D440="ista",G440,"")</f>
        <v/>
      </c>
    </row>
    <row r="441" customFormat="false" ht="13.5" hidden="false" customHeight="false" outlineLevel="0" collapsed="false">
      <c r="A441" s="160"/>
      <c r="B441" s="160"/>
      <c r="C441" s="160"/>
      <c r="D441" s="160"/>
      <c r="E441" s="160"/>
      <c r="F441" s="161"/>
      <c r="G441" s="161"/>
      <c r="H441" s="155" t="str">
        <f aca="false">IF(D441="Kaltwasser",G441-F441,"")</f>
        <v/>
      </c>
      <c r="I441" s="155" t="str">
        <f aca="false">IF(D441="Warmwasser",G441-F441,"")</f>
        <v/>
      </c>
      <c r="J441" s="156" t="str">
        <f aca="false">IF(D441="ista",G441,"")</f>
        <v/>
      </c>
    </row>
    <row r="442" customFormat="false" ht="13.5" hidden="false" customHeight="false" outlineLevel="0" collapsed="false">
      <c r="A442" s="160"/>
      <c r="B442" s="160"/>
      <c r="C442" s="160"/>
      <c r="D442" s="160"/>
      <c r="E442" s="160"/>
      <c r="F442" s="161"/>
      <c r="G442" s="161"/>
      <c r="H442" s="155" t="str">
        <f aca="false">IF(D442="Kaltwasser",G442-F442,"")</f>
        <v/>
      </c>
      <c r="I442" s="155" t="str">
        <f aca="false">IF(D442="Warmwasser",G442-F442,"")</f>
        <v/>
      </c>
      <c r="J442" s="156" t="str">
        <f aca="false">IF(D442="ista",G442,"")</f>
        <v/>
      </c>
    </row>
    <row r="443" customFormat="false" ht="13.5" hidden="false" customHeight="false" outlineLevel="0" collapsed="false">
      <c r="A443" s="160"/>
      <c r="B443" s="160"/>
      <c r="C443" s="160"/>
      <c r="D443" s="160"/>
      <c r="E443" s="160"/>
      <c r="F443" s="161"/>
      <c r="G443" s="161"/>
      <c r="H443" s="155" t="str">
        <f aca="false">IF(D443="Kaltwasser",G443-F443,"")</f>
        <v/>
      </c>
      <c r="I443" s="155" t="str">
        <f aca="false">IF(D443="Warmwasser",G443-F443,"")</f>
        <v/>
      </c>
      <c r="J443" s="156" t="str">
        <f aca="false">IF(D443="ista",G443,"")</f>
        <v/>
      </c>
    </row>
    <row r="444" customFormat="false" ht="13.5" hidden="false" customHeight="false" outlineLevel="0" collapsed="false">
      <c r="A444" s="160"/>
      <c r="B444" s="160"/>
      <c r="C444" s="160"/>
      <c r="D444" s="160"/>
      <c r="E444" s="160"/>
      <c r="F444" s="161"/>
      <c r="G444" s="161"/>
      <c r="H444" s="155" t="str">
        <f aca="false">IF(D444="Kaltwasser",G444-F444,"")</f>
        <v/>
      </c>
      <c r="I444" s="155" t="str">
        <f aca="false">IF(D444="Warmwasser",G444-F444,"")</f>
        <v/>
      </c>
      <c r="J444" s="156" t="str">
        <f aca="false">IF(D444="ista",G444,"")</f>
        <v/>
      </c>
    </row>
    <row r="445" customFormat="false" ht="13.5" hidden="false" customHeight="false" outlineLevel="0" collapsed="false">
      <c r="A445" s="160"/>
      <c r="B445" s="160"/>
      <c r="C445" s="160"/>
      <c r="D445" s="160"/>
      <c r="E445" s="160"/>
      <c r="F445" s="161"/>
      <c r="G445" s="161"/>
      <c r="H445" s="155" t="str">
        <f aca="false">IF(D445="Kaltwasser",G445-F445,"")</f>
        <v/>
      </c>
      <c r="I445" s="155" t="str">
        <f aca="false">IF(D445="Warmwasser",G445-F445,"")</f>
        <v/>
      </c>
      <c r="J445" s="156" t="str">
        <f aca="false">IF(D445="ista",G445,"")</f>
        <v/>
      </c>
    </row>
    <row r="446" customFormat="false" ht="13.5" hidden="false" customHeight="false" outlineLevel="0" collapsed="false">
      <c r="A446" s="160"/>
      <c r="B446" s="160"/>
      <c r="C446" s="160"/>
      <c r="D446" s="160"/>
      <c r="E446" s="160"/>
      <c r="F446" s="161"/>
      <c r="G446" s="161"/>
      <c r="H446" s="155" t="str">
        <f aca="false">IF(D446="Kaltwasser",G446-F446,"")</f>
        <v/>
      </c>
      <c r="I446" s="155" t="str">
        <f aca="false">IF(D446="Warmwasser",G446-F446,"")</f>
        <v/>
      </c>
      <c r="J446" s="156" t="str">
        <f aca="false">IF(D446="ista",G446,"")</f>
        <v/>
      </c>
    </row>
    <row r="447" customFormat="false" ht="13.5" hidden="false" customHeight="false" outlineLevel="0" collapsed="false">
      <c r="A447" s="160"/>
      <c r="B447" s="160"/>
      <c r="C447" s="160"/>
      <c r="D447" s="160"/>
      <c r="E447" s="160"/>
      <c r="F447" s="161"/>
      <c r="G447" s="161"/>
      <c r="H447" s="155" t="str">
        <f aca="false">IF(D447="Kaltwasser",G447-F447,"")</f>
        <v/>
      </c>
      <c r="I447" s="155" t="str">
        <f aca="false">IF(D447="Warmwasser",G447-F447,"")</f>
        <v/>
      </c>
      <c r="J447" s="156" t="str">
        <f aca="false">IF(D447="ista",G447,"")</f>
        <v/>
      </c>
    </row>
    <row r="448" customFormat="false" ht="13.5" hidden="false" customHeight="false" outlineLevel="0" collapsed="false">
      <c r="A448" s="160"/>
      <c r="B448" s="160"/>
      <c r="C448" s="160"/>
      <c r="D448" s="160"/>
      <c r="E448" s="160"/>
      <c r="F448" s="161"/>
      <c r="G448" s="161"/>
      <c r="H448" s="155" t="str">
        <f aca="false">IF(D448="Kaltwasser",G448-F448,"")</f>
        <v/>
      </c>
      <c r="I448" s="155" t="str">
        <f aca="false">IF(D448="Warmwasser",G448-F448,"")</f>
        <v/>
      </c>
      <c r="J448" s="156" t="str">
        <f aca="false">IF(D448="ista",G448,"")</f>
        <v/>
      </c>
    </row>
    <row r="449" customFormat="false" ht="13.5" hidden="false" customHeight="false" outlineLevel="0" collapsed="false">
      <c r="A449" s="160"/>
      <c r="B449" s="160"/>
      <c r="C449" s="160"/>
      <c r="D449" s="160"/>
      <c r="E449" s="160"/>
      <c r="F449" s="161"/>
      <c r="G449" s="161"/>
      <c r="H449" s="155" t="str">
        <f aca="false">IF(D449="Kaltwasser",G449-F449,"")</f>
        <v/>
      </c>
      <c r="I449" s="155" t="str">
        <f aca="false">IF(D449="Warmwasser",G449-F449,"")</f>
        <v/>
      </c>
      <c r="J449" s="156" t="str">
        <f aca="false">IF(D449="ista",G449,"")</f>
        <v/>
      </c>
    </row>
    <row r="450" customFormat="false" ht="13.5" hidden="false" customHeight="false" outlineLevel="0" collapsed="false">
      <c r="A450" s="160"/>
      <c r="B450" s="160"/>
      <c r="C450" s="160"/>
      <c r="D450" s="160"/>
      <c r="E450" s="160"/>
      <c r="F450" s="161"/>
      <c r="G450" s="161"/>
      <c r="H450" s="155" t="str">
        <f aca="false">IF(D450="Kaltwasser",G450-F450,"")</f>
        <v/>
      </c>
      <c r="I450" s="155" t="str">
        <f aca="false">IF(D450="Warmwasser",G450-F450,"")</f>
        <v/>
      </c>
      <c r="J450" s="156" t="str">
        <f aca="false">IF(D450="ista",G450,"")</f>
        <v/>
      </c>
    </row>
    <row r="451" customFormat="false" ht="13.5" hidden="false" customHeight="false" outlineLevel="0" collapsed="false">
      <c r="A451" s="160"/>
      <c r="B451" s="160"/>
      <c r="C451" s="160"/>
      <c r="D451" s="160"/>
      <c r="E451" s="160"/>
      <c r="F451" s="161"/>
      <c r="G451" s="161"/>
      <c r="H451" s="155" t="str">
        <f aca="false">IF(D451="Kaltwasser",G451-F451,"")</f>
        <v/>
      </c>
      <c r="I451" s="155" t="str">
        <f aca="false">IF(D451="Warmwasser",G451-F451,"")</f>
        <v/>
      </c>
      <c r="J451" s="156" t="str">
        <f aca="false">IF(D451="ista",G451,"")</f>
        <v/>
      </c>
    </row>
    <row r="452" customFormat="false" ht="13.5" hidden="false" customHeight="false" outlineLevel="0" collapsed="false">
      <c r="A452" s="160"/>
      <c r="B452" s="160"/>
      <c r="C452" s="160"/>
      <c r="D452" s="160"/>
      <c r="E452" s="160"/>
      <c r="F452" s="161"/>
      <c r="G452" s="161"/>
      <c r="H452" s="155" t="str">
        <f aca="false">IF(D452="Kaltwasser",G452-F452,"")</f>
        <v/>
      </c>
      <c r="I452" s="155" t="str">
        <f aca="false">IF(D452="Warmwasser",G452-F452,"")</f>
        <v/>
      </c>
      <c r="J452" s="156" t="str">
        <f aca="false">IF(D452="ista",G452,"")</f>
        <v/>
      </c>
    </row>
    <row r="453" customFormat="false" ht="13.5" hidden="false" customHeight="false" outlineLevel="0" collapsed="false">
      <c r="A453" s="160"/>
      <c r="B453" s="160"/>
      <c r="C453" s="160"/>
      <c r="D453" s="160"/>
      <c r="E453" s="160"/>
      <c r="F453" s="161"/>
      <c r="G453" s="161"/>
      <c r="H453" s="155" t="str">
        <f aca="false">IF(D453="Kaltwasser",G453-F453,"")</f>
        <v/>
      </c>
      <c r="I453" s="155" t="str">
        <f aca="false">IF(D453="Warmwasser",G453-F453,"")</f>
        <v/>
      </c>
      <c r="J453" s="156" t="str">
        <f aca="false">IF(D453="ista",G453,"")</f>
        <v/>
      </c>
    </row>
    <row r="454" customFormat="false" ht="13.5" hidden="false" customHeight="false" outlineLevel="0" collapsed="false">
      <c r="A454" s="160"/>
      <c r="B454" s="160"/>
      <c r="C454" s="160"/>
      <c r="D454" s="160"/>
      <c r="E454" s="160"/>
      <c r="F454" s="161"/>
      <c r="G454" s="161"/>
      <c r="H454" s="155" t="str">
        <f aca="false">IF(D454="Kaltwasser",G454-F454,"")</f>
        <v/>
      </c>
      <c r="I454" s="155" t="str">
        <f aca="false">IF(D454="Warmwasser",G454-F454,"")</f>
        <v/>
      </c>
      <c r="J454" s="156" t="str">
        <f aca="false">IF(D454="ista",G454,"")</f>
        <v/>
      </c>
    </row>
    <row r="455" customFormat="false" ht="13.5" hidden="false" customHeight="false" outlineLevel="0" collapsed="false">
      <c r="A455" s="160"/>
      <c r="B455" s="160"/>
      <c r="C455" s="160"/>
      <c r="D455" s="160"/>
      <c r="E455" s="160"/>
      <c r="F455" s="161"/>
      <c r="G455" s="161"/>
      <c r="H455" s="155" t="str">
        <f aca="false">IF(D455="Kaltwasser",G455-F455,"")</f>
        <v/>
      </c>
      <c r="I455" s="155" t="str">
        <f aca="false">IF(D455="Warmwasser",G455-F455,"")</f>
        <v/>
      </c>
      <c r="J455" s="156" t="str">
        <f aca="false">IF(D455="ista",G455,"")</f>
        <v/>
      </c>
    </row>
    <row r="456" customFormat="false" ht="13.5" hidden="false" customHeight="false" outlineLevel="0" collapsed="false">
      <c r="A456" s="160"/>
      <c r="B456" s="160"/>
      <c r="C456" s="160"/>
      <c r="D456" s="160"/>
      <c r="E456" s="160"/>
      <c r="F456" s="161"/>
      <c r="G456" s="161"/>
      <c r="H456" s="155" t="str">
        <f aca="false">IF(D456="Kaltwasser",G456-F456,"")</f>
        <v/>
      </c>
      <c r="I456" s="155" t="str">
        <f aca="false">IF(D456="Warmwasser",G456-F456,"")</f>
        <v/>
      </c>
      <c r="J456" s="156" t="str">
        <f aca="false">IF(D456="ista",G456,"")</f>
        <v/>
      </c>
    </row>
    <row r="457" customFormat="false" ht="13.5" hidden="false" customHeight="false" outlineLevel="0" collapsed="false">
      <c r="A457" s="160"/>
      <c r="B457" s="160"/>
      <c r="C457" s="160"/>
      <c r="D457" s="160"/>
      <c r="E457" s="160"/>
      <c r="F457" s="161"/>
      <c r="G457" s="161"/>
      <c r="H457" s="155" t="str">
        <f aca="false">IF(D457="Kaltwasser",G457-F457,"")</f>
        <v/>
      </c>
      <c r="I457" s="155" t="str">
        <f aca="false">IF(D457="Warmwasser",G457-F457,"")</f>
        <v/>
      </c>
      <c r="J457" s="156" t="str">
        <f aca="false">IF(D457="ista",G457,"")</f>
        <v/>
      </c>
    </row>
    <row r="458" customFormat="false" ht="13.5" hidden="false" customHeight="false" outlineLevel="0" collapsed="false">
      <c r="A458" s="160"/>
      <c r="B458" s="160"/>
      <c r="C458" s="160"/>
      <c r="D458" s="160"/>
      <c r="E458" s="160"/>
      <c r="F458" s="161"/>
      <c r="G458" s="161"/>
      <c r="H458" s="155" t="str">
        <f aca="false">IF(D458="Kaltwasser",G458-F458,"")</f>
        <v/>
      </c>
      <c r="I458" s="155" t="str">
        <f aca="false">IF(D458="Warmwasser",G458-F458,"")</f>
        <v/>
      </c>
      <c r="J458" s="156" t="str">
        <f aca="false">IF(D458="ista",G458,"")</f>
        <v/>
      </c>
    </row>
    <row r="459" customFormat="false" ht="13.5" hidden="false" customHeight="false" outlineLevel="0" collapsed="false">
      <c r="A459" s="160"/>
      <c r="B459" s="160"/>
      <c r="C459" s="160"/>
      <c r="D459" s="160"/>
      <c r="E459" s="160"/>
      <c r="F459" s="161"/>
      <c r="G459" s="161"/>
      <c r="H459" s="155" t="str">
        <f aca="false">IF(D459="Kaltwasser",G459-F459,"")</f>
        <v/>
      </c>
      <c r="I459" s="155" t="str">
        <f aca="false">IF(D459="Warmwasser",G459-F459,"")</f>
        <v/>
      </c>
      <c r="J459" s="156" t="str">
        <f aca="false">IF(D459="ista",G459,"")</f>
        <v/>
      </c>
    </row>
    <row r="460" customFormat="false" ht="13.5" hidden="false" customHeight="false" outlineLevel="0" collapsed="false">
      <c r="A460" s="160"/>
      <c r="B460" s="160"/>
      <c r="C460" s="160"/>
      <c r="D460" s="160"/>
      <c r="E460" s="160"/>
      <c r="F460" s="161"/>
      <c r="G460" s="161"/>
      <c r="H460" s="155" t="str">
        <f aca="false">IF(D460="Kaltwasser",G460-F460,"")</f>
        <v/>
      </c>
      <c r="I460" s="155" t="str">
        <f aca="false">IF(D460="Warmwasser",G460-F460,"")</f>
        <v/>
      </c>
      <c r="J460" s="156" t="str">
        <f aca="false">IF(D460="ista",G460,"")</f>
        <v/>
      </c>
    </row>
    <row r="461" customFormat="false" ht="13.5" hidden="false" customHeight="false" outlineLevel="0" collapsed="false">
      <c r="A461" s="160"/>
      <c r="B461" s="160"/>
      <c r="C461" s="160"/>
      <c r="D461" s="160"/>
      <c r="E461" s="160"/>
      <c r="F461" s="161"/>
      <c r="G461" s="161"/>
      <c r="H461" s="155" t="str">
        <f aca="false">IF(D461="Kaltwasser",G461-F461,"")</f>
        <v/>
      </c>
      <c r="I461" s="155" t="str">
        <f aca="false">IF(D461="Warmwasser",G461-F461,"")</f>
        <v/>
      </c>
      <c r="J461" s="156" t="str">
        <f aca="false">IF(D461="ista",G461,"")</f>
        <v/>
      </c>
    </row>
    <row r="462" customFormat="false" ht="13.5" hidden="false" customHeight="false" outlineLevel="0" collapsed="false">
      <c r="A462" s="160"/>
      <c r="B462" s="160"/>
      <c r="C462" s="160"/>
      <c r="D462" s="160"/>
      <c r="E462" s="160"/>
      <c r="F462" s="161"/>
      <c r="G462" s="161"/>
      <c r="H462" s="155" t="str">
        <f aca="false">IF(D462="Kaltwasser",G462-F462,"")</f>
        <v/>
      </c>
      <c r="I462" s="155" t="str">
        <f aca="false">IF(D462="Warmwasser",G462-F462,"")</f>
        <v/>
      </c>
      <c r="J462" s="156" t="str">
        <f aca="false">IF(D462="ista",G462,"")</f>
        <v/>
      </c>
    </row>
    <row r="463" customFormat="false" ht="13.5" hidden="false" customHeight="false" outlineLevel="0" collapsed="false">
      <c r="A463" s="160"/>
      <c r="B463" s="160"/>
      <c r="C463" s="160"/>
      <c r="D463" s="160"/>
      <c r="E463" s="160"/>
      <c r="F463" s="161"/>
      <c r="G463" s="161"/>
      <c r="H463" s="155" t="str">
        <f aca="false">IF(D463="Kaltwasser",G463-F463,"")</f>
        <v/>
      </c>
      <c r="I463" s="155" t="str">
        <f aca="false">IF(D463="Warmwasser",G463-F463,"")</f>
        <v/>
      </c>
      <c r="J463" s="156" t="str">
        <f aca="false">IF(D463="ista",G463,"")</f>
        <v/>
      </c>
    </row>
    <row r="464" customFormat="false" ht="13.5" hidden="false" customHeight="false" outlineLevel="0" collapsed="false">
      <c r="A464" s="160"/>
      <c r="B464" s="160"/>
      <c r="C464" s="160"/>
      <c r="D464" s="160"/>
      <c r="E464" s="160"/>
      <c r="F464" s="161"/>
      <c r="G464" s="161"/>
      <c r="H464" s="155" t="str">
        <f aca="false">IF(D464="Kaltwasser",G464-F464,"")</f>
        <v/>
      </c>
      <c r="I464" s="155" t="str">
        <f aca="false">IF(D464="Warmwasser",G464-F464,"")</f>
        <v/>
      </c>
      <c r="J464" s="156" t="str">
        <f aca="false">IF(D464="ista",G464,"")</f>
        <v/>
      </c>
    </row>
    <row r="465" customFormat="false" ht="13.5" hidden="false" customHeight="false" outlineLevel="0" collapsed="false">
      <c r="A465" s="160"/>
      <c r="B465" s="160"/>
      <c r="C465" s="160"/>
      <c r="D465" s="160"/>
      <c r="E465" s="160"/>
      <c r="F465" s="161"/>
      <c r="G465" s="161"/>
      <c r="H465" s="155" t="str">
        <f aca="false">IF(D465="Kaltwasser",G465-F465,"")</f>
        <v/>
      </c>
      <c r="I465" s="155" t="str">
        <f aca="false">IF(D465="Warmwasser",G465-F465,"")</f>
        <v/>
      </c>
      <c r="J465" s="156" t="str">
        <f aca="false">IF(D465="ista",G465,"")</f>
        <v/>
      </c>
    </row>
    <row r="466" customFormat="false" ht="13.5" hidden="false" customHeight="false" outlineLevel="0" collapsed="false">
      <c r="A466" s="160"/>
      <c r="B466" s="160"/>
      <c r="C466" s="160"/>
      <c r="D466" s="160"/>
      <c r="E466" s="160"/>
      <c r="F466" s="161"/>
      <c r="G466" s="161"/>
      <c r="H466" s="155" t="str">
        <f aca="false">IF(D466="Kaltwasser",G466-F466,"")</f>
        <v/>
      </c>
      <c r="I466" s="155" t="str">
        <f aca="false">IF(D466="Warmwasser",G466-F466,"")</f>
        <v/>
      </c>
      <c r="J466" s="156" t="str">
        <f aca="false">IF(D466="ista",G466,"")</f>
        <v/>
      </c>
    </row>
    <row r="467" customFormat="false" ht="13.5" hidden="false" customHeight="false" outlineLevel="0" collapsed="false">
      <c r="A467" s="160"/>
      <c r="B467" s="160"/>
      <c r="C467" s="160"/>
      <c r="D467" s="160"/>
      <c r="E467" s="160"/>
      <c r="F467" s="161"/>
      <c r="G467" s="161"/>
      <c r="H467" s="155" t="str">
        <f aca="false">IF(D467="Kaltwasser",G467-F467,"")</f>
        <v/>
      </c>
      <c r="I467" s="155" t="str">
        <f aca="false">IF(D467="Warmwasser",G467-F467,"")</f>
        <v/>
      </c>
      <c r="J467" s="156" t="str">
        <f aca="false">IF(D467="ista",G467,"")</f>
        <v/>
      </c>
    </row>
    <row r="468" customFormat="false" ht="13.5" hidden="false" customHeight="false" outlineLevel="0" collapsed="false">
      <c r="A468" s="160"/>
      <c r="B468" s="160"/>
      <c r="C468" s="160"/>
      <c r="D468" s="160"/>
      <c r="E468" s="160"/>
      <c r="F468" s="161"/>
      <c r="G468" s="161"/>
      <c r="H468" s="155" t="str">
        <f aca="false">IF(D468="Kaltwasser",G468-F468,"")</f>
        <v/>
      </c>
      <c r="I468" s="155" t="str">
        <f aca="false">IF(D468="Warmwasser",G468-F468,"")</f>
        <v/>
      </c>
      <c r="J468" s="156" t="str">
        <f aca="false">IF(D468="ista",G468,"")</f>
        <v/>
      </c>
    </row>
    <row r="469" customFormat="false" ht="13.5" hidden="false" customHeight="false" outlineLevel="0" collapsed="false">
      <c r="A469" s="160"/>
      <c r="B469" s="160"/>
      <c r="C469" s="160"/>
      <c r="D469" s="160"/>
      <c r="E469" s="160"/>
      <c r="F469" s="161"/>
      <c r="G469" s="161"/>
      <c r="H469" s="155" t="str">
        <f aca="false">IF(D469="Kaltwasser",G469-F469,"")</f>
        <v/>
      </c>
      <c r="I469" s="155" t="str">
        <f aca="false">IF(D469="Warmwasser",G469-F469,"")</f>
        <v/>
      </c>
      <c r="J469" s="156" t="str">
        <f aca="false">IF(D469="ista",G469,"")</f>
        <v/>
      </c>
    </row>
    <row r="470" customFormat="false" ht="13.5" hidden="false" customHeight="false" outlineLevel="0" collapsed="false">
      <c r="A470" s="160"/>
      <c r="B470" s="160"/>
      <c r="C470" s="160"/>
      <c r="D470" s="160"/>
      <c r="E470" s="160"/>
      <c r="F470" s="161"/>
      <c r="G470" s="161"/>
      <c r="H470" s="155" t="str">
        <f aca="false">IF(D470="Kaltwasser",G470-F470,"")</f>
        <v/>
      </c>
      <c r="I470" s="155" t="str">
        <f aca="false">IF(D470="Warmwasser",G470-F470,"")</f>
        <v/>
      </c>
      <c r="J470" s="156" t="str">
        <f aca="false">IF(D470="ista",G470,"")</f>
        <v/>
      </c>
    </row>
    <row r="471" customFormat="false" ht="13.5" hidden="false" customHeight="false" outlineLevel="0" collapsed="false">
      <c r="A471" s="160"/>
      <c r="B471" s="160"/>
      <c r="C471" s="160"/>
      <c r="D471" s="160"/>
      <c r="E471" s="160"/>
      <c r="F471" s="161"/>
      <c r="G471" s="161"/>
      <c r="H471" s="155" t="str">
        <f aca="false">IF(D471="Kaltwasser",G471-F471,"")</f>
        <v/>
      </c>
      <c r="I471" s="155" t="str">
        <f aca="false">IF(D471="Warmwasser",G471-F471,"")</f>
        <v/>
      </c>
      <c r="J471" s="156" t="str">
        <f aca="false">IF(D471="ista",G471,"")</f>
        <v/>
      </c>
    </row>
    <row r="472" customFormat="false" ht="13.5" hidden="false" customHeight="false" outlineLevel="0" collapsed="false">
      <c r="A472" s="160"/>
      <c r="B472" s="160"/>
      <c r="C472" s="160"/>
      <c r="D472" s="160"/>
      <c r="E472" s="160"/>
      <c r="F472" s="161"/>
      <c r="G472" s="161"/>
      <c r="H472" s="155" t="str">
        <f aca="false">IF(D472="Kaltwasser",G472-F472,"")</f>
        <v/>
      </c>
      <c r="I472" s="155" t="str">
        <f aca="false">IF(D472="Warmwasser",G472-F472,"")</f>
        <v/>
      </c>
      <c r="J472" s="156" t="str">
        <f aca="false">IF(D472="ista",G472,"")</f>
        <v/>
      </c>
    </row>
    <row r="473" customFormat="false" ht="13.5" hidden="false" customHeight="false" outlineLevel="0" collapsed="false">
      <c r="A473" s="160"/>
      <c r="B473" s="160"/>
      <c r="C473" s="160"/>
      <c r="D473" s="160"/>
      <c r="E473" s="160"/>
      <c r="F473" s="161"/>
      <c r="G473" s="161"/>
      <c r="H473" s="155" t="str">
        <f aca="false">IF(D473="Kaltwasser",G473-F473,"")</f>
        <v/>
      </c>
      <c r="I473" s="155" t="str">
        <f aca="false">IF(D473="Warmwasser",G473-F473,"")</f>
        <v/>
      </c>
      <c r="J473" s="156" t="str">
        <f aca="false">IF(D473="ista",G473,"")</f>
        <v/>
      </c>
    </row>
    <row r="474" customFormat="false" ht="13.5" hidden="false" customHeight="false" outlineLevel="0" collapsed="false">
      <c r="A474" s="160"/>
      <c r="B474" s="160"/>
      <c r="C474" s="160"/>
      <c r="D474" s="160"/>
      <c r="E474" s="160"/>
      <c r="F474" s="161"/>
      <c r="G474" s="161"/>
      <c r="H474" s="155" t="str">
        <f aca="false">IF(D474="Kaltwasser",G474-F474,"")</f>
        <v/>
      </c>
      <c r="I474" s="155" t="str">
        <f aca="false">IF(D474="Warmwasser",G474-F474,"")</f>
        <v/>
      </c>
      <c r="J474" s="156" t="str">
        <f aca="false">IF(D474="ista",G474,"")</f>
        <v/>
      </c>
    </row>
    <row r="475" customFormat="false" ht="13.5" hidden="false" customHeight="false" outlineLevel="0" collapsed="false">
      <c r="A475" s="160"/>
      <c r="B475" s="160"/>
      <c r="C475" s="160"/>
      <c r="D475" s="160"/>
      <c r="E475" s="160"/>
      <c r="F475" s="161"/>
      <c r="G475" s="161"/>
      <c r="H475" s="155" t="str">
        <f aca="false">IF(D475="Kaltwasser",G475-F475,"")</f>
        <v/>
      </c>
      <c r="I475" s="155" t="str">
        <f aca="false">IF(D475="Warmwasser",G475-F475,"")</f>
        <v/>
      </c>
      <c r="J475" s="156" t="str">
        <f aca="false">IF(D475="ista",G475,"")</f>
        <v/>
      </c>
    </row>
    <row r="476" customFormat="false" ht="13.5" hidden="false" customHeight="false" outlineLevel="0" collapsed="false">
      <c r="A476" s="160"/>
      <c r="B476" s="160"/>
      <c r="C476" s="160"/>
      <c r="D476" s="160"/>
      <c r="E476" s="160"/>
      <c r="F476" s="161"/>
      <c r="G476" s="161"/>
      <c r="H476" s="155" t="str">
        <f aca="false">IF(D476="Kaltwasser",G476-F476,"")</f>
        <v/>
      </c>
      <c r="I476" s="155" t="str">
        <f aca="false">IF(D476="Warmwasser",G476-F476,"")</f>
        <v/>
      </c>
      <c r="J476" s="156" t="str">
        <f aca="false">IF(D476="ista",G476,"")</f>
        <v/>
      </c>
    </row>
    <row r="477" customFormat="false" ht="13.5" hidden="false" customHeight="false" outlineLevel="0" collapsed="false">
      <c r="A477" s="160"/>
      <c r="B477" s="160"/>
      <c r="C477" s="160"/>
      <c r="D477" s="160"/>
      <c r="E477" s="160"/>
      <c r="F477" s="161"/>
      <c r="G477" s="161"/>
      <c r="H477" s="155" t="str">
        <f aca="false">IF(D477="Kaltwasser",G477-F477,"")</f>
        <v/>
      </c>
      <c r="I477" s="155" t="str">
        <f aca="false">IF(D477="Warmwasser",G477-F477,"")</f>
        <v/>
      </c>
      <c r="J477" s="156" t="str">
        <f aca="false">IF(D477="ista",G477,"")</f>
        <v/>
      </c>
    </row>
    <row r="478" customFormat="false" ht="13.5" hidden="false" customHeight="false" outlineLevel="0" collapsed="false">
      <c r="A478" s="160"/>
      <c r="B478" s="160"/>
      <c r="C478" s="160"/>
      <c r="D478" s="160"/>
      <c r="E478" s="160"/>
      <c r="F478" s="161"/>
      <c r="G478" s="161"/>
      <c r="H478" s="155" t="str">
        <f aca="false">IF(D478="Kaltwasser",G478-F478,"")</f>
        <v/>
      </c>
      <c r="I478" s="155" t="str">
        <f aca="false">IF(D478="Warmwasser",G478-F478,"")</f>
        <v/>
      </c>
      <c r="J478" s="156" t="str">
        <f aca="false">IF(D478="ista",G478,"")</f>
        <v/>
      </c>
    </row>
    <row r="479" customFormat="false" ht="13.5" hidden="false" customHeight="false" outlineLevel="0" collapsed="false">
      <c r="A479" s="160"/>
      <c r="B479" s="160"/>
      <c r="C479" s="160"/>
      <c r="D479" s="160"/>
      <c r="E479" s="160"/>
      <c r="F479" s="161"/>
      <c r="G479" s="161"/>
      <c r="H479" s="155" t="str">
        <f aca="false">IF(D479="Kaltwasser",G479-F479,"")</f>
        <v/>
      </c>
      <c r="I479" s="155" t="str">
        <f aca="false">IF(D479="Warmwasser",G479-F479,"")</f>
        <v/>
      </c>
      <c r="J479" s="156" t="str">
        <f aca="false">IF(D479="ista",G479,"")</f>
        <v/>
      </c>
    </row>
    <row r="480" customFormat="false" ht="13.5" hidden="false" customHeight="false" outlineLevel="0" collapsed="false">
      <c r="A480" s="160"/>
      <c r="B480" s="160"/>
      <c r="C480" s="160"/>
      <c r="D480" s="160"/>
      <c r="E480" s="160"/>
      <c r="F480" s="161"/>
      <c r="G480" s="161"/>
      <c r="H480" s="155" t="str">
        <f aca="false">IF(D480="Kaltwasser",G480-F480,"")</f>
        <v/>
      </c>
      <c r="I480" s="155" t="str">
        <f aca="false">IF(D480="Warmwasser",G480-F480,"")</f>
        <v/>
      </c>
      <c r="J480" s="156" t="str">
        <f aca="false">IF(D480="ista",G480,"")</f>
        <v/>
      </c>
    </row>
    <row r="481" customFormat="false" ht="13.5" hidden="false" customHeight="false" outlineLevel="0" collapsed="false">
      <c r="A481" s="160"/>
      <c r="B481" s="160"/>
      <c r="C481" s="160"/>
      <c r="D481" s="160"/>
      <c r="E481" s="160"/>
      <c r="F481" s="161"/>
      <c r="G481" s="161"/>
      <c r="H481" s="155" t="str">
        <f aca="false">IF(D481="Kaltwasser",G481-F481,"")</f>
        <v/>
      </c>
      <c r="I481" s="155" t="str">
        <f aca="false">IF(D481="Warmwasser",G481-F481,"")</f>
        <v/>
      </c>
      <c r="J481" s="156" t="str">
        <f aca="false">IF(D481="ista",G481,"")</f>
        <v/>
      </c>
    </row>
    <row r="482" customFormat="false" ht="13.5" hidden="false" customHeight="false" outlineLevel="0" collapsed="false">
      <c r="A482" s="160"/>
      <c r="B482" s="160"/>
      <c r="C482" s="160"/>
      <c r="D482" s="160"/>
      <c r="E482" s="160"/>
      <c r="F482" s="161"/>
      <c r="G482" s="161"/>
      <c r="H482" s="155" t="str">
        <f aca="false">IF(D482="Kaltwasser",G482-F482,"")</f>
        <v/>
      </c>
      <c r="I482" s="155" t="str">
        <f aca="false">IF(D482="Warmwasser",G482-F482,"")</f>
        <v/>
      </c>
      <c r="J482" s="156" t="str">
        <f aca="false">IF(D482="ista",G482,"")</f>
        <v/>
      </c>
    </row>
    <row r="483" customFormat="false" ht="13.5" hidden="false" customHeight="false" outlineLevel="0" collapsed="false">
      <c r="A483" s="160"/>
      <c r="B483" s="160"/>
      <c r="C483" s="160"/>
      <c r="D483" s="160"/>
      <c r="E483" s="160"/>
      <c r="F483" s="161"/>
      <c r="G483" s="161"/>
      <c r="H483" s="155" t="str">
        <f aca="false">IF(D483="Kaltwasser",G483-F483,"")</f>
        <v/>
      </c>
      <c r="I483" s="155" t="str">
        <f aca="false">IF(D483="Warmwasser",G483-F483,"")</f>
        <v/>
      </c>
      <c r="J483" s="156" t="str">
        <f aca="false">IF(D483="ista",G483,"")</f>
        <v/>
      </c>
    </row>
    <row r="484" customFormat="false" ht="13.5" hidden="false" customHeight="false" outlineLevel="0" collapsed="false">
      <c r="A484" s="160"/>
      <c r="B484" s="160"/>
      <c r="C484" s="160"/>
      <c r="D484" s="160"/>
      <c r="E484" s="160"/>
      <c r="F484" s="161"/>
      <c r="G484" s="161"/>
      <c r="H484" s="155" t="str">
        <f aca="false">IF(D484="Kaltwasser",G484-F484,"")</f>
        <v/>
      </c>
      <c r="I484" s="155" t="str">
        <f aca="false">IF(D484="Warmwasser",G484-F484,"")</f>
        <v/>
      </c>
      <c r="J484" s="156" t="str">
        <f aca="false">IF(D484="ista",G484,"")</f>
        <v/>
      </c>
    </row>
    <row r="485" customFormat="false" ht="13.5" hidden="false" customHeight="false" outlineLevel="0" collapsed="false">
      <c r="A485" s="160"/>
      <c r="B485" s="160"/>
      <c r="C485" s="160"/>
      <c r="D485" s="160"/>
      <c r="E485" s="160"/>
      <c r="F485" s="161"/>
      <c r="G485" s="161"/>
      <c r="H485" s="155" t="str">
        <f aca="false">IF(D485="Kaltwasser",G485-F485,"")</f>
        <v/>
      </c>
      <c r="I485" s="155" t="str">
        <f aca="false">IF(D485="Warmwasser",G485-F485,"")</f>
        <v/>
      </c>
      <c r="J485" s="156" t="str">
        <f aca="false">IF(D485="ista",G485,"")</f>
        <v/>
      </c>
    </row>
    <row r="486" customFormat="false" ht="13.5" hidden="false" customHeight="false" outlineLevel="0" collapsed="false">
      <c r="A486" s="160"/>
      <c r="B486" s="160"/>
      <c r="C486" s="160"/>
      <c r="D486" s="160"/>
      <c r="E486" s="160"/>
      <c r="F486" s="161"/>
      <c r="G486" s="161"/>
      <c r="H486" s="155" t="str">
        <f aca="false">IF(D486="Kaltwasser",G486-F486,"")</f>
        <v/>
      </c>
      <c r="I486" s="155" t="str">
        <f aca="false">IF(D486="Warmwasser",G486-F486,"")</f>
        <v/>
      </c>
      <c r="J486" s="156" t="str">
        <f aca="false">IF(D486="ista",G486,"")</f>
        <v/>
      </c>
    </row>
    <row r="487" customFormat="false" ht="13.5" hidden="false" customHeight="false" outlineLevel="0" collapsed="false">
      <c r="A487" s="160"/>
      <c r="B487" s="160"/>
      <c r="C487" s="160"/>
      <c r="D487" s="160"/>
      <c r="E487" s="160"/>
      <c r="F487" s="161"/>
      <c r="G487" s="161"/>
      <c r="H487" s="155" t="str">
        <f aca="false">IF(D487="Kaltwasser",G487-F487,"")</f>
        <v/>
      </c>
      <c r="I487" s="155" t="str">
        <f aca="false">IF(D487="Warmwasser",G487-F487,"")</f>
        <v/>
      </c>
      <c r="J487" s="156" t="str">
        <f aca="false">IF(D487="ista",G487,"")</f>
        <v/>
      </c>
    </row>
    <row r="488" customFormat="false" ht="13.5" hidden="false" customHeight="false" outlineLevel="0" collapsed="false">
      <c r="A488" s="160"/>
      <c r="B488" s="160"/>
      <c r="C488" s="160"/>
      <c r="D488" s="160"/>
      <c r="E488" s="160"/>
      <c r="F488" s="161"/>
      <c r="G488" s="161"/>
      <c r="H488" s="155" t="str">
        <f aca="false">IF(D488="Kaltwasser",G488-F488,"")</f>
        <v/>
      </c>
      <c r="I488" s="155" t="str">
        <f aca="false">IF(D488="Warmwasser",G488-F488,"")</f>
        <v/>
      </c>
      <c r="J488" s="156" t="str">
        <f aca="false">IF(D488="ista",G488,"")</f>
        <v/>
      </c>
    </row>
    <row r="489" customFormat="false" ht="13.5" hidden="false" customHeight="false" outlineLevel="0" collapsed="false">
      <c r="A489" s="160"/>
      <c r="B489" s="160"/>
      <c r="C489" s="160"/>
      <c r="D489" s="160"/>
      <c r="E489" s="160"/>
      <c r="F489" s="161"/>
      <c r="G489" s="161"/>
      <c r="H489" s="155" t="str">
        <f aca="false">IF(D489="Kaltwasser",G489-F489,"")</f>
        <v/>
      </c>
      <c r="I489" s="155" t="str">
        <f aca="false">IF(D489="Warmwasser",G489-F489,"")</f>
        <v/>
      </c>
      <c r="J489" s="156" t="str">
        <f aca="false">IF(D489="ista",G489,"")</f>
        <v/>
      </c>
    </row>
    <row r="490" customFormat="false" ht="13.5" hidden="false" customHeight="false" outlineLevel="0" collapsed="false">
      <c r="A490" s="160"/>
      <c r="B490" s="160"/>
      <c r="C490" s="160"/>
      <c r="D490" s="160"/>
      <c r="E490" s="160"/>
      <c r="F490" s="161"/>
      <c r="G490" s="161"/>
      <c r="H490" s="155" t="str">
        <f aca="false">IF(D490="Kaltwasser",G490-F490,"")</f>
        <v/>
      </c>
      <c r="I490" s="155" t="str">
        <f aca="false">IF(D490="Warmwasser",G490-F490,"")</f>
        <v/>
      </c>
      <c r="J490" s="156" t="str">
        <f aca="false">IF(D490="ista",G490,"")</f>
        <v/>
      </c>
    </row>
    <row r="491" customFormat="false" ht="13.5" hidden="false" customHeight="false" outlineLevel="0" collapsed="false">
      <c r="A491" s="160"/>
      <c r="B491" s="160"/>
      <c r="C491" s="160"/>
      <c r="D491" s="160"/>
      <c r="E491" s="160"/>
      <c r="F491" s="161"/>
      <c r="G491" s="161"/>
      <c r="H491" s="155" t="str">
        <f aca="false">IF(D491="Kaltwasser",G491-F491,"")</f>
        <v/>
      </c>
      <c r="I491" s="155" t="str">
        <f aca="false">IF(D491="Warmwasser",G491-F491,"")</f>
        <v/>
      </c>
      <c r="J491" s="156" t="str">
        <f aca="false">IF(D491="ista",G491,"")</f>
        <v/>
      </c>
    </row>
    <row r="492" customFormat="false" ht="13.5" hidden="false" customHeight="false" outlineLevel="0" collapsed="false">
      <c r="A492" s="160"/>
      <c r="B492" s="160"/>
      <c r="C492" s="160"/>
      <c r="D492" s="160"/>
      <c r="E492" s="160"/>
      <c r="F492" s="161"/>
      <c r="G492" s="161"/>
      <c r="H492" s="155" t="str">
        <f aca="false">IF(D492="Kaltwasser",G492-F492,"")</f>
        <v/>
      </c>
      <c r="I492" s="155" t="str">
        <f aca="false">IF(D492="Warmwasser",G492-F492,"")</f>
        <v/>
      </c>
      <c r="J492" s="156" t="str">
        <f aca="false">IF(D492="ista",G492,"")</f>
        <v/>
      </c>
    </row>
    <row r="493" customFormat="false" ht="13.5" hidden="false" customHeight="false" outlineLevel="0" collapsed="false">
      <c r="A493" s="160"/>
      <c r="B493" s="160"/>
      <c r="C493" s="160"/>
      <c r="D493" s="160"/>
      <c r="E493" s="160"/>
      <c r="F493" s="161"/>
      <c r="G493" s="161"/>
      <c r="H493" s="155" t="str">
        <f aca="false">IF(D493="Kaltwasser",G493-F493,"")</f>
        <v/>
      </c>
      <c r="I493" s="155" t="str">
        <f aca="false">IF(D493="Warmwasser",G493-F493,"")</f>
        <v/>
      </c>
      <c r="J493" s="156" t="str">
        <f aca="false">IF(D493="ista",G493,"")</f>
        <v/>
      </c>
    </row>
    <row r="494" customFormat="false" ht="13.5" hidden="false" customHeight="false" outlineLevel="0" collapsed="false">
      <c r="A494" s="160"/>
      <c r="B494" s="160"/>
      <c r="C494" s="160"/>
      <c r="D494" s="160"/>
      <c r="E494" s="160"/>
      <c r="F494" s="161"/>
      <c r="G494" s="161"/>
      <c r="H494" s="155" t="str">
        <f aca="false">IF(D494="Kaltwasser",G494-F494,"")</f>
        <v/>
      </c>
      <c r="I494" s="155" t="str">
        <f aca="false">IF(D494="Warmwasser",G494-F494,"")</f>
        <v/>
      </c>
      <c r="J494" s="156" t="str">
        <f aca="false">IF(D494="ista",G494,"")</f>
        <v/>
      </c>
    </row>
    <row r="495" customFormat="false" ht="13.5" hidden="false" customHeight="false" outlineLevel="0" collapsed="false">
      <c r="A495" s="160"/>
      <c r="B495" s="160"/>
      <c r="C495" s="160"/>
      <c r="D495" s="160"/>
      <c r="E495" s="160"/>
      <c r="F495" s="161"/>
      <c r="G495" s="161"/>
      <c r="H495" s="155" t="str">
        <f aca="false">IF(D495="Kaltwasser",G495-F495,"")</f>
        <v/>
      </c>
      <c r="I495" s="155" t="str">
        <f aca="false">IF(D495="Warmwasser",G495-F495,"")</f>
        <v/>
      </c>
      <c r="J495" s="156" t="str">
        <f aca="false">IF(D495="ista",G495,"")</f>
        <v/>
      </c>
    </row>
    <row r="496" customFormat="false" ht="13.5" hidden="false" customHeight="false" outlineLevel="0" collapsed="false">
      <c r="A496" s="160"/>
      <c r="B496" s="160"/>
      <c r="C496" s="160"/>
      <c r="D496" s="160"/>
      <c r="E496" s="160"/>
      <c r="F496" s="161"/>
      <c r="G496" s="161"/>
      <c r="H496" s="155" t="str">
        <f aca="false">IF(D496="Kaltwasser",G496-F496,"")</f>
        <v/>
      </c>
      <c r="I496" s="155" t="str">
        <f aca="false">IF(D496="Warmwasser",G496-F496,"")</f>
        <v/>
      </c>
      <c r="J496" s="156" t="str">
        <f aca="false">IF(D496="ista",G496,"")</f>
        <v/>
      </c>
    </row>
    <row r="497" customFormat="false" ht="13.5" hidden="false" customHeight="false" outlineLevel="0" collapsed="false">
      <c r="A497" s="160"/>
      <c r="B497" s="160"/>
      <c r="C497" s="160"/>
      <c r="D497" s="160"/>
      <c r="E497" s="160"/>
      <c r="F497" s="161"/>
      <c r="G497" s="161"/>
      <c r="H497" s="155" t="str">
        <f aca="false">IF(D497="Kaltwasser",G497-F497,"")</f>
        <v/>
      </c>
      <c r="I497" s="155" t="str">
        <f aca="false">IF(D497="Warmwasser",G497-F497,"")</f>
        <v/>
      </c>
      <c r="J497" s="156" t="str">
        <f aca="false">IF(D497="ista",G497,"")</f>
        <v/>
      </c>
    </row>
    <row r="498" customFormat="false" ht="13.5" hidden="false" customHeight="false" outlineLevel="0" collapsed="false">
      <c r="A498" s="160"/>
      <c r="B498" s="160"/>
      <c r="C498" s="160"/>
      <c r="D498" s="160"/>
      <c r="E498" s="160"/>
      <c r="F498" s="161"/>
      <c r="G498" s="161"/>
      <c r="H498" s="155" t="str">
        <f aca="false">IF(D498="Kaltwasser",G498-F498,"")</f>
        <v/>
      </c>
      <c r="I498" s="155" t="str">
        <f aca="false">IF(D498="Warmwasser",G498-F498,"")</f>
        <v/>
      </c>
      <c r="J498" s="156" t="str">
        <f aca="false">IF(D498="ista",G498,"")</f>
        <v/>
      </c>
    </row>
    <row r="499" customFormat="false" ht="13.5" hidden="false" customHeight="false" outlineLevel="0" collapsed="false">
      <c r="A499" s="160"/>
      <c r="B499" s="160"/>
      <c r="C499" s="160"/>
      <c r="D499" s="160"/>
      <c r="E499" s="160"/>
      <c r="F499" s="161"/>
      <c r="G499" s="161"/>
      <c r="H499" s="155" t="str">
        <f aca="false">IF(D499="Kaltwasser",G499-F499,"")</f>
        <v/>
      </c>
      <c r="I499" s="155" t="str">
        <f aca="false">IF(D499="Warmwasser",G499-F499,"")</f>
        <v/>
      </c>
      <c r="J499" s="156" t="str">
        <f aca="false">IF(D499="ista",G499,"")</f>
        <v/>
      </c>
    </row>
    <row r="500" customFormat="false" ht="13.5" hidden="false" customHeight="false" outlineLevel="0" collapsed="false">
      <c r="A500" s="160"/>
      <c r="B500" s="160"/>
      <c r="C500" s="160"/>
      <c r="D500" s="160"/>
      <c r="E500" s="160"/>
      <c r="F500" s="161"/>
      <c r="G500" s="161"/>
      <c r="H500" s="155" t="str">
        <f aca="false">IF(D500="Kaltwasser",G500-F500,"")</f>
        <v/>
      </c>
      <c r="I500" s="155" t="str">
        <f aca="false">IF(D500="Warmwasser",G500-F500,"")</f>
        <v/>
      </c>
      <c r="J500" s="156" t="str">
        <f aca="false">IF(D500="ista",G500,"")</f>
        <v/>
      </c>
    </row>
    <row r="501" customFormat="false" ht="13.5" hidden="false" customHeight="false" outlineLevel="0" collapsed="false">
      <c r="A501" s="160"/>
      <c r="B501" s="160"/>
      <c r="C501" s="160"/>
      <c r="D501" s="160"/>
      <c r="E501" s="160"/>
      <c r="F501" s="161"/>
      <c r="G501" s="161"/>
      <c r="H501" s="155" t="str">
        <f aca="false">IF(D501="Kaltwasser",G501-F501,"")</f>
        <v/>
      </c>
      <c r="I501" s="155" t="str">
        <f aca="false">IF(D501="Warmwasser",G501-F501,"")</f>
        <v/>
      </c>
      <c r="J501" s="156" t="str">
        <f aca="false">IF(D501="ista",G501,"")</f>
        <v/>
      </c>
    </row>
    <row r="502" customFormat="false" ht="13.5" hidden="false" customHeight="false" outlineLevel="0" collapsed="false">
      <c r="A502" s="160"/>
      <c r="B502" s="160"/>
      <c r="C502" s="160"/>
      <c r="D502" s="160"/>
      <c r="E502" s="160"/>
      <c r="F502" s="161"/>
      <c r="G502" s="161"/>
      <c r="H502" s="155" t="str">
        <f aca="false">IF(D502="Kaltwasser",G502-F502,"")</f>
        <v/>
      </c>
      <c r="I502" s="155" t="str">
        <f aca="false">IF(D502="Warmwasser",G502-F502,"")</f>
        <v/>
      </c>
      <c r="J502" s="156" t="str">
        <f aca="false">IF(D502="ista",G502,"")</f>
        <v/>
      </c>
    </row>
    <row r="503" customFormat="false" ht="13.5" hidden="false" customHeight="false" outlineLevel="0" collapsed="false">
      <c r="A503" s="160"/>
      <c r="B503" s="160"/>
      <c r="C503" s="160"/>
      <c r="D503" s="160"/>
      <c r="E503" s="160"/>
      <c r="F503" s="161"/>
      <c r="G503" s="161"/>
      <c r="H503" s="155" t="str">
        <f aca="false">IF(D503="Kaltwasser",G503-F503,"")</f>
        <v/>
      </c>
      <c r="I503" s="155" t="str">
        <f aca="false">IF(D503="Warmwasser",G503-F503,"")</f>
        <v/>
      </c>
      <c r="J503" s="156" t="str">
        <f aca="false">IF(D503="ista",G503,"")</f>
        <v/>
      </c>
    </row>
    <row r="504" customFormat="false" ht="13.5" hidden="false" customHeight="false" outlineLevel="0" collapsed="false">
      <c r="A504" s="160"/>
      <c r="B504" s="160"/>
      <c r="C504" s="160"/>
      <c r="D504" s="160"/>
      <c r="E504" s="160"/>
      <c r="F504" s="161"/>
      <c r="G504" s="161"/>
      <c r="H504" s="155" t="str">
        <f aca="false">IF(D504="Kaltwasser",G504-F504,"")</f>
        <v/>
      </c>
      <c r="I504" s="155" t="str">
        <f aca="false">IF(D504="Warmwasser",G504-F504,"")</f>
        <v/>
      </c>
      <c r="J504" s="156" t="str">
        <f aca="false">IF(D504="ista",G504,"")</f>
        <v/>
      </c>
    </row>
    <row r="505" customFormat="false" ht="13.5" hidden="false" customHeight="false" outlineLevel="0" collapsed="false">
      <c r="A505" s="160"/>
      <c r="B505" s="160"/>
      <c r="C505" s="160"/>
      <c r="D505" s="160"/>
      <c r="E505" s="160"/>
      <c r="F505" s="161"/>
      <c r="G505" s="161"/>
      <c r="H505" s="155" t="str">
        <f aca="false">IF(D505="Kaltwasser",G505-F505,"")</f>
        <v/>
      </c>
      <c r="I505" s="155" t="str">
        <f aca="false">IF(D505="Warmwasser",G505-F505,"")</f>
        <v/>
      </c>
      <c r="J505" s="156" t="str">
        <f aca="false">IF(D505="ista",G505,"")</f>
        <v/>
      </c>
    </row>
    <row r="506" customFormat="false" ht="13.5" hidden="false" customHeight="false" outlineLevel="0" collapsed="false">
      <c r="A506" s="160"/>
      <c r="B506" s="160"/>
      <c r="C506" s="160"/>
      <c r="D506" s="160"/>
      <c r="E506" s="160"/>
      <c r="F506" s="161"/>
      <c r="G506" s="161"/>
      <c r="H506" s="155" t="str">
        <f aca="false">IF(D506="Kaltwasser",G506-F506,"")</f>
        <v/>
      </c>
      <c r="I506" s="155" t="str">
        <f aca="false">IF(D506="Warmwasser",G506-F506,"")</f>
        <v/>
      </c>
      <c r="J506" s="156" t="str">
        <f aca="false">IF(D506="ista",G506,"")</f>
        <v/>
      </c>
    </row>
    <row r="507" customFormat="false" ht="13.5" hidden="false" customHeight="false" outlineLevel="0" collapsed="false">
      <c r="A507" s="160"/>
      <c r="B507" s="160"/>
      <c r="C507" s="160"/>
      <c r="D507" s="160"/>
      <c r="E507" s="160"/>
      <c r="F507" s="161"/>
      <c r="G507" s="161"/>
      <c r="H507" s="155" t="str">
        <f aca="false">IF(D507="Kaltwasser",G507-F507,"")</f>
        <v/>
      </c>
      <c r="I507" s="155" t="str">
        <f aca="false">IF(D507="Warmwasser",G507-F507,"")</f>
        <v/>
      </c>
      <c r="J507" s="156" t="str">
        <f aca="false">IF(D507="ista",G507,"")</f>
        <v/>
      </c>
    </row>
    <row r="508" customFormat="false" ht="13.5" hidden="false" customHeight="false" outlineLevel="0" collapsed="false">
      <c r="A508" s="160"/>
      <c r="B508" s="160"/>
      <c r="C508" s="160"/>
      <c r="D508" s="160"/>
      <c r="E508" s="160"/>
      <c r="F508" s="161"/>
      <c r="G508" s="161"/>
      <c r="H508" s="155" t="str">
        <f aca="false">IF(D508="Kaltwasser",G508-F508,"")</f>
        <v/>
      </c>
      <c r="I508" s="155" t="str">
        <f aca="false">IF(D508="Warmwasser",G508-F508,"")</f>
        <v/>
      </c>
      <c r="J508" s="156" t="str">
        <f aca="false">IF(D508="ista",G508,"")</f>
        <v/>
      </c>
    </row>
    <row r="509" customFormat="false" ht="13.5" hidden="false" customHeight="false" outlineLevel="0" collapsed="false">
      <c r="A509" s="160"/>
      <c r="B509" s="160"/>
      <c r="C509" s="160"/>
      <c r="D509" s="160"/>
      <c r="E509" s="160"/>
      <c r="F509" s="161"/>
      <c r="G509" s="161"/>
      <c r="H509" s="155" t="str">
        <f aca="false">IF(D509="Kaltwasser",G509-F509,"")</f>
        <v/>
      </c>
      <c r="I509" s="155" t="str">
        <f aca="false">IF(D509="Warmwasser",G509-F509,"")</f>
        <v/>
      </c>
      <c r="J509" s="156" t="str">
        <f aca="false">IF(D509="ista",G509,"")</f>
        <v/>
      </c>
    </row>
    <row r="510" customFormat="false" ht="13.5" hidden="false" customHeight="false" outlineLevel="0" collapsed="false">
      <c r="A510" s="160"/>
      <c r="B510" s="160"/>
      <c r="C510" s="160"/>
      <c r="D510" s="160"/>
      <c r="E510" s="160"/>
      <c r="F510" s="161"/>
      <c r="G510" s="161"/>
      <c r="H510" s="155" t="str">
        <f aca="false">IF(D510="Kaltwasser",G510-F510,"")</f>
        <v/>
      </c>
      <c r="I510" s="155" t="str">
        <f aca="false">IF(D510="Warmwasser",G510-F510,"")</f>
        <v/>
      </c>
      <c r="J510" s="156" t="str">
        <f aca="false">IF(D510="ista",G510,"")</f>
        <v/>
      </c>
    </row>
    <row r="511" customFormat="false" ht="13.5" hidden="false" customHeight="false" outlineLevel="0" collapsed="false">
      <c r="A511" s="160"/>
      <c r="B511" s="160"/>
      <c r="C511" s="160"/>
      <c r="D511" s="160"/>
      <c r="E511" s="160"/>
      <c r="F511" s="161"/>
      <c r="G511" s="161"/>
      <c r="H511" s="155" t="str">
        <f aca="false">IF(D511="Kaltwasser",G511-F511,"")</f>
        <v/>
      </c>
      <c r="I511" s="155" t="str">
        <f aca="false">IF(D511="Warmwasser",G511-F511,"")</f>
        <v/>
      </c>
      <c r="J511" s="156" t="str">
        <f aca="false">IF(D511="ista",G511,"")</f>
        <v/>
      </c>
    </row>
    <row r="512" customFormat="false" ht="13.5" hidden="false" customHeight="false" outlineLevel="0" collapsed="false">
      <c r="A512" s="160"/>
      <c r="B512" s="160"/>
      <c r="C512" s="160"/>
      <c r="D512" s="160"/>
      <c r="E512" s="160"/>
      <c r="F512" s="161"/>
      <c r="G512" s="161"/>
      <c r="H512" s="155" t="str">
        <f aca="false">IF(D512="Kaltwasser",G512-F512,"")</f>
        <v/>
      </c>
      <c r="I512" s="155" t="str">
        <f aca="false">IF(D512="Warmwasser",G512-F512,"")</f>
        <v/>
      </c>
      <c r="J512" s="156" t="str">
        <f aca="false">IF(D512="ista",G512,"")</f>
        <v/>
      </c>
    </row>
    <row r="513" customFormat="false" ht="13.5" hidden="false" customHeight="false" outlineLevel="0" collapsed="false">
      <c r="A513" s="160"/>
      <c r="B513" s="160"/>
      <c r="C513" s="160"/>
      <c r="D513" s="160"/>
      <c r="E513" s="160"/>
      <c r="F513" s="161"/>
      <c r="G513" s="161"/>
      <c r="H513" s="155" t="str">
        <f aca="false">IF(D513="Kaltwasser",G513-F513,"")</f>
        <v/>
      </c>
      <c r="I513" s="155" t="str">
        <f aca="false">IF(D513="Warmwasser",G513-F513,"")</f>
        <v/>
      </c>
      <c r="J513" s="156" t="str">
        <f aca="false">IF(D513="ista",G513,"")</f>
        <v/>
      </c>
    </row>
    <row r="514" customFormat="false" ht="13.5" hidden="false" customHeight="false" outlineLevel="0" collapsed="false">
      <c r="A514" s="160"/>
      <c r="B514" s="160"/>
      <c r="C514" s="160"/>
      <c r="D514" s="160"/>
      <c r="E514" s="160"/>
      <c r="F514" s="161"/>
      <c r="G514" s="161"/>
      <c r="H514" s="155" t="str">
        <f aca="false">IF(D514="Kaltwasser",G514-F514,"")</f>
        <v/>
      </c>
      <c r="I514" s="155" t="str">
        <f aca="false">IF(D514="Warmwasser",G514-F514,"")</f>
        <v/>
      </c>
      <c r="J514" s="156" t="str">
        <f aca="false">IF(D514="ista",G514,"")</f>
        <v/>
      </c>
    </row>
    <row r="515" customFormat="false" ht="13.5" hidden="false" customHeight="false" outlineLevel="0" collapsed="false">
      <c r="A515" s="160"/>
      <c r="B515" s="160"/>
      <c r="C515" s="160"/>
      <c r="D515" s="160"/>
      <c r="E515" s="160"/>
      <c r="F515" s="161"/>
      <c r="G515" s="161"/>
      <c r="H515" s="155" t="str">
        <f aca="false">IF(D515="Kaltwasser",G515-F515,"")</f>
        <v/>
      </c>
      <c r="I515" s="155" t="str">
        <f aca="false">IF(D515="Warmwasser",G515-F515,"")</f>
        <v/>
      </c>
      <c r="J515" s="156" t="str">
        <f aca="false">IF(D515="ista",G515,"")</f>
        <v/>
      </c>
    </row>
    <row r="516" customFormat="false" ht="13.5" hidden="false" customHeight="false" outlineLevel="0" collapsed="false">
      <c r="A516" s="160"/>
      <c r="B516" s="160"/>
      <c r="C516" s="160"/>
      <c r="D516" s="160"/>
      <c r="E516" s="160"/>
      <c r="F516" s="161"/>
      <c r="G516" s="161"/>
      <c r="H516" s="155" t="str">
        <f aca="false">IF(D516="Kaltwasser",G516-F516,"")</f>
        <v/>
      </c>
      <c r="I516" s="155" t="str">
        <f aca="false">IF(D516="Warmwasser",G516-F516,"")</f>
        <v/>
      </c>
      <c r="J516" s="156" t="str">
        <f aca="false">IF(D516="ista",G516,"")</f>
        <v/>
      </c>
    </row>
    <row r="517" customFormat="false" ht="13.5" hidden="false" customHeight="false" outlineLevel="0" collapsed="false">
      <c r="A517" s="160"/>
      <c r="B517" s="160"/>
      <c r="C517" s="160"/>
      <c r="D517" s="160"/>
      <c r="E517" s="160"/>
      <c r="F517" s="161"/>
      <c r="G517" s="161"/>
      <c r="H517" s="155" t="str">
        <f aca="false">IF(D517="Kaltwasser",G517-F517,"")</f>
        <v/>
      </c>
      <c r="I517" s="155" t="str">
        <f aca="false">IF(D517="Warmwasser",G517-F517,"")</f>
        <v/>
      </c>
      <c r="J517" s="156" t="str">
        <f aca="false">IF(D517="ista",G517,"")</f>
        <v/>
      </c>
    </row>
    <row r="518" customFormat="false" ht="13.5" hidden="false" customHeight="false" outlineLevel="0" collapsed="false">
      <c r="A518" s="160"/>
      <c r="B518" s="160"/>
      <c r="C518" s="160"/>
      <c r="D518" s="160"/>
      <c r="E518" s="160"/>
      <c r="F518" s="161"/>
      <c r="G518" s="161"/>
      <c r="H518" s="155" t="str">
        <f aca="false">IF(D518="Kaltwasser",G518-F518,"")</f>
        <v/>
      </c>
      <c r="I518" s="155" t="str">
        <f aca="false">IF(D518="Warmwasser",G518-F518,"")</f>
        <v/>
      </c>
      <c r="J518" s="156" t="str">
        <f aca="false">IF(D518="ista",G518,"")</f>
        <v/>
      </c>
    </row>
    <row r="519" customFormat="false" ht="13.5" hidden="false" customHeight="false" outlineLevel="0" collapsed="false">
      <c r="A519" s="160"/>
      <c r="B519" s="160"/>
      <c r="C519" s="160"/>
      <c r="D519" s="160"/>
      <c r="E519" s="160"/>
      <c r="F519" s="161"/>
      <c r="G519" s="161"/>
      <c r="H519" s="155" t="str">
        <f aca="false">IF(D519="Kaltwasser",G519-F519,"")</f>
        <v/>
      </c>
      <c r="I519" s="155" t="str">
        <f aca="false">IF(D519="Warmwasser",G519-F519,"")</f>
        <v/>
      </c>
      <c r="J519" s="156" t="str">
        <f aca="false">IF(D519="ista",G519,"")</f>
        <v/>
      </c>
    </row>
    <row r="520" customFormat="false" ht="13.5" hidden="false" customHeight="false" outlineLevel="0" collapsed="false">
      <c r="A520" s="160"/>
      <c r="B520" s="160"/>
      <c r="C520" s="160"/>
      <c r="D520" s="160"/>
      <c r="E520" s="160"/>
      <c r="F520" s="161"/>
      <c r="G520" s="161"/>
      <c r="H520" s="155" t="str">
        <f aca="false">IF(D520="Kaltwasser",G520-F520,"")</f>
        <v/>
      </c>
      <c r="I520" s="155" t="str">
        <f aca="false">IF(D520="Warmwasser",G520-F520,"")</f>
        <v/>
      </c>
      <c r="J520" s="156" t="str">
        <f aca="false">IF(D520="ista",G520,"")</f>
        <v/>
      </c>
    </row>
    <row r="521" customFormat="false" ht="13.5" hidden="false" customHeight="false" outlineLevel="0" collapsed="false">
      <c r="A521" s="160"/>
      <c r="B521" s="160"/>
      <c r="C521" s="160"/>
      <c r="D521" s="160"/>
      <c r="E521" s="160"/>
      <c r="F521" s="161"/>
      <c r="G521" s="161"/>
      <c r="H521" s="155" t="str">
        <f aca="false">IF(D521="Kaltwasser",G521-F521,"")</f>
        <v/>
      </c>
      <c r="I521" s="155" t="str">
        <f aca="false">IF(D521="Warmwasser",G521-F521,"")</f>
        <v/>
      </c>
      <c r="J521" s="156" t="str">
        <f aca="false">IF(D521="ista",G521,"")</f>
        <v/>
      </c>
    </row>
    <row r="522" customFormat="false" ht="13.5" hidden="false" customHeight="false" outlineLevel="0" collapsed="false">
      <c r="A522" s="160"/>
      <c r="B522" s="160"/>
      <c r="C522" s="160"/>
      <c r="D522" s="160"/>
      <c r="E522" s="160"/>
      <c r="F522" s="161"/>
      <c r="G522" s="161"/>
      <c r="H522" s="155" t="str">
        <f aca="false">IF(D522="Kaltwasser",G522-F522,"")</f>
        <v/>
      </c>
      <c r="I522" s="155" t="str">
        <f aca="false">IF(D522="Warmwasser",G522-F522,"")</f>
        <v/>
      </c>
      <c r="J522" s="156" t="str">
        <f aca="false">IF(D522="ista",G522,"")</f>
        <v/>
      </c>
    </row>
    <row r="523" customFormat="false" ht="13.5" hidden="false" customHeight="false" outlineLevel="0" collapsed="false">
      <c r="A523" s="160"/>
      <c r="B523" s="160"/>
      <c r="C523" s="160"/>
      <c r="D523" s="160"/>
      <c r="E523" s="160"/>
      <c r="F523" s="161"/>
      <c r="G523" s="161"/>
      <c r="H523" s="155" t="str">
        <f aca="false">IF(D523="Kaltwasser",G523-F523,"")</f>
        <v/>
      </c>
      <c r="I523" s="155" t="str">
        <f aca="false">IF(D523="Warmwasser",G523-F523,"")</f>
        <v/>
      </c>
      <c r="J523" s="156" t="str">
        <f aca="false">IF(D523="ista",G523,"")</f>
        <v/>
      </c>
    </row>
    <row r="524" customFormat="false" ht="13.5" hidden="false" customHeight="false" outlineLevel="0" collapsed="false">
      <c r="A524" s="160"/>
      <c r="B524" s="160"/>
      <c r="C524" s="160"/>
      <c r="D524" s="160"/>
      <c r="E524" s="160"/>
      <c r="F524" s="161"/>
      <c r="G524" s="161"/>
      <c r="H524" s="155" t="str">
        <f aca="false">IF(D524="Kaltwasser",G524-F524,"")</f>
        <v/>
      </c>
      <c r="I524" s="155" t="str">
        <f aca="false">IF(D524="Warmwasser",G524-F524,"")</f>
        <v/>
      </c>
      <c r="J524" s="156" t="str">
        <f aca="false">IF(D524="ista",G524,"")</f>
        <v/>
      </c>
    </row>
    <row r="525" customFormat="false" ht="13.5" hidden="false" customHeight="false" outlineLevel="0" collapsed="false">
      <c r="A525" s="160"/>
      <c r="B525" s="160"/>
      <c r="C525" s="160"/>
      <c r="D525" s="160"/>
      <c r="E525" s="160"/>
      <c r="F525" s="161"/>
      <c r="G525" s="161"/>
      <c r="H525" s="155" t="str">
        <f aca="false">IF(D525="Kaltwasser",G525-F525,"")</f>
        <v/>
      </c>
      <c r="I525" s="155" t="str">
        <f aca="false">IF(D525="Warmwasser",G525-F525,"")</f>
        <v/>
      </c>
      <c r="J525" s="156" t="str">
        <f aca="false">IF(D525="ista",G525,"")</f>
        <v/>
      </c>
    </row>
    <row r="526" customFormat="false" ht="13.5" hidden="false" customHeight="false" outlineLevel="0" collapsed="false">
      <c r="A526" s="160"/>
      <c r="B526" s="160"/>
      <c r="C526" s="160"/>
      <c r="D526" s="160"/>
      <c r="E526" s="160"/>
      <c r="F526" s="161"/>
      <c r="G526" s="161"/>
      <c r="H526" s="155" t="str">
        <f aca="false">IF(D526="Kaltwasser",G526-F526,"")</f>
        <v/>
      </c>
      <c r="I526" s="155" t="str">
        <f aca="false">IF(D526="Warmwasser",G526-F526,"")</f>
        <v/>
      </c>
      <c r="J526" s="156" t="str">
        <f aca="false">IF(D526="ista",G526,"")</f>
        <v/>
      </c>
    </row>
    <row r="527" customFormat="false" ht="13.5" hidden="false" customHeight="false" outlineLevel="0" collapsed="false">
      <c r="A527" s="160"/>
      <c r="B527" s="160"/>
      <c r="C527" s="160"/>
      <c r="D527" s="160"/>
      <c r="E527" s="160"/>
      <c r="F527" s="161"/>
      <c r="G527" s="161"/>
      <c r="H527" s="155" t="str">
        <f aca="false">IF(D527="Kaltwasser",G527-F527,"")</f>
        <v/>
      </c>
      <c r="I527" s="155" t="str">
        <f aca="false">IF(D527="Warmwasser",G527-F527,"")</f>
        <v/>
      </c>
      <c r="J527" s="156" t="str">
        <f aca="false">IF(D527="ista",G527,"")</f>
        <v/>
      </c>
    </row>
    <row r="528" customFormat="false" ht="13.5" hidden="false" customHeight="false" outlineLevel="0" collapsed="false">
      <c r="A528" s="160"/>
      <c r="B528" s="160"/>
      <c r="C528" s="160"/>
      <c r="D528" s="160"/>
      <c r="E528" s="160"/>
      <c r="F528" s="161"/>
      <c r="G528" s="161"/>
      <c r="H528" s="155" t="str">
        <f aca="false">IF(D528="Kaltwasser",G528-F528,"")</f>
        <v/>
      </c>
      <c r="I528" s="155" t="str">
        <f aca="false">IF(D528="Warmwasser",G528-F528,"")</f>
        <v/>
      </c>
      <c r="J528" s="156" t="str">
        <f aca="false">IF(D528="ista",G528,"")</f>
        <v/>
      </c>
    </row>
    <row r="529" customFormat="false" ht="13.5" hidden="false" customHeight="false" outlineLevel="0" collapsed="false">
      <c r="A529" s="160"/>
      <c r="B529" s="160"/>
      <c r="C529" s="160"/>
      <c r="D529" s="160"/>
      <c r="E529" s="160"/>
      <c r="F529" s="161"/>
      <c r="G529" s="161"/>
      <c r="H529" s="155" t="str">
        <f aca="false">IF(D529="Kaltwasser",G529-F529,"")</f>
        <v/>
      </c>
      <c r="I529" s="155" t="str">
        <f aca="false">IF(D529="Warmwasser",G529-F529,"")</f>
        <v/>
      </c>
      <c r="J529" s="156" t="str">
        <f aca="false">IF(D529="ista",G529,"")</f>
        <v/>
      </c>
    </row>
    <row r="530" customFormat="false" ht="13.5" hidden="false" customHeight="false" outlineLevel="0" collapsed="false">
      <c r="A530" s="160"/>
      <c r="B530" s="160"/>
      <c r="C530" s="160"/>
      <c r="D530" s="160"/>
      <c r="E530" s="160"/>
      <c r="F530" s="161"/>
      <c r="G530" s="161"/>
      <c r="H530" s="155" t="str">
        <f aca="false">IF(D530="Kaltwasser",G530-F530,"")</f>
        <v/>
      </c>
      <c r="I530" s="155" t="str">
        <f aca="false">IF(D530="Warmwasser",G530-F530,"")</f>
        <v/>
      </c>
      <c r="J530" s="156" t="str">
        <f aca="false">IF(D530="ista",G530,"")</f>
        <v/>
      </c>
    </row>
    <row r="531" customFormat="false" ht="13.5" hidden="false" customHeight="false" outlineLevel="0" collapsed="false">
      <c r="A531" s="160"/>
      <c r="B531" s="160"/>
      <c r="C531" s="160"/>
      <c r="D531" s="160"/>
      <c r="E531" s="160"/>
      <c r="F531" s="161"/>
      <c r="G531" s="161"/>
      <c r="H531" s="155" t="str">
        <f aca="false">IF(D531="Kaltwasser",G531-F531,"")</f>
        <v/>
      </c>
      <c r="I531" s="155" t="str">
        <f aca="false">IF(D531="Warmwasser",G531-F531,"")</f>
        <v/>
      </c>
      <c r="J531" s="156" t="str">
        <f aca="false">IF(D531="ista",G531,"")</f>
        <v/>
      </c>
    </row>
    <row r="532" customFormat="false" ht="13.5" hidden="false" customHeight="false" outlineLevel="0" collapsed="false">
      <c r="A532" s="160"/>
      <c r="B532" s="160"/>
      <c r="C532" s="160"/>
      <c r="D532" s="160"/>
      <c r="E532" s="160"/>
      <c r="F532" s="161"/>
      <c r="G532" s="161"/>
      <c r="H532" s="155" t="str">
        <f aca="false">IF(D532="Kaltwasser",G532-F532,"")</f>
        <v/>
      </c>
      <c r="I532" s="155" t="str">
        <f aca="false">IF(D532="Warmwasser",G532-F532,"")</f>
        <v/>
      </c>
      <c r="J532" s="156" t="str">
        <f aca="false">IF(D532="ista",G532,"")</f>
        <v/>
      </c>
    </row>
    <row r="533" customFormat="false" ht="13.5" hidden="false" customHeight="false" outlineLevel="0" collapsed="false">
      <c r="A533" s="160"/>
      <c r="B533" s="160"/>
      <c r="C533" s="160"/>
      <c r="D533" s="160"/>
      <c r="E533" s="160"/>
      <c r="F533" s="161"/>
      <c r="G533" s="161"/>
      <c r="H533" s="155" t="str">
        <f aca="false">IF(D533="Kaltwasser",G533-F533,"")</f>
        <v/>
      </c>
      <c r="I533" s="155" t="str">
        <f aca="false">IF(D533="Warmwasser",G533-F533,"")</f>
        <v/>
      </c>
      <c r="J533" s="156" t="str">
        <f aca="false">IF(D533="ista",G533,"")</f>
        <v/>
      </c>
    </row>
    <row r="534" customFormat="false" ht="13.5" hidden="false" customHeight="false" outlineLevel="0" collapsed="false">
      <c r="A534" s="160"/>
      <c r="B534" s="160"/>
      <c r="C534" s="160"/>
      <c r="D534" s="160"/>
      <c r="E534" s="160"/>
      <c r="F534" s="161"/>
      <c r="G534" s="161"/>
      <c r="H534" s="155" t="str">
        <f aca="false">IF(D534="Kaltwasser",G534-F534,"")</f>
        <v/>
      </c>
      <c r="I534" s="155" t="str">
        <f aca="false">IF(D534="Warmwasser",G534-F534,"")</f>
        <v/>
      </c>
      <c r="J534" s="156" t="str">
        <f aca="false">IF(D534="ista",G534,"")</f>
        <v/>
      </c>
    </row>
    <row r="535" customFormat="false" ht="13.5" hidden="false" customHeight="false" outlineLevel="0" collapsed="false">
      <c r="A535" s="160"/>
      <c r="B535" s="160"/>
      <c r="C535" s="160"/>
      <c r="D535" s="160"/>
      <c r="E535" s="160"/>
      <c r="F535" s="161"/>
      <c r="G535" s="161"/>
      <c r="H535" s="155" t="str">
        <f aca="false">IF(D535="Kaltwasser",G535-F535,"")</f>
        <v/>
      </c>
      <c r="I535" s="155" t="str">
        <f aca="false">IF(D535="Warmwasser",G535-F535,"")</f>
        <v/>
      </c>
      <c r="J535" s="156" t="str">
        <f aca="false">IF(D535="ista",G535,"")</f>
        <v/>
      </c>
    </row>
    <row r="536" customFormat="false" ht="13.5" hidden="false" customHeight="false" outlineLevel="0" collapsed="false">
      <c r="A536" s="160"/>
      <c r="B536" s="160"/>
      <c r="C536" s="160"/>
      <c r="D536" s="160"/>
      <c r="E536" s="160"/>
      <c r="F536" s="161"/>
      <c r="G536" s="161"/>
      <c r="H536" s="155" t="str">
        <f aca="false">IF(D536="Kaltwasser",G536-F536,"")</f>
        <v/>
      </c>
      <c r="I536" s="155" t="str">
        <f aca="false">IF(D536="Warmwasser",G536-F536,"")</f>
        <v/>
      </c>
      <c r="J536" s="156" t="str">
        <f aca="false">IF(D536="ista",G536,"")</f>
        <v/>
      </c>
    </row>
    <row r="537" customFormat="false" ht="13.5" hidden="false" customHeight="false" outlineLevel="0" collapsed="false">
      <c r="A537" s="160"/>
      <c r="B537" s="160"/>
      <c r="C537" s="160"/>
      <c r="D537" s="160"/>
      <c r="E537" s="160"/>
      <c r="F537" s="161"/>
      <c r="G537" s="161"/>
      <c r="H537" s="155" t="str">
        <f aca="false">IF(D537="Kaltwasser",G537-F537,"")</f>
        <v/>
      </c>
      <c r="I537" s="155" t="str">
        <f aca="false">IF(D537="Warmwasser",G537-F537,"")</f>
        <v/>
      </c>
      <c r="J537" s="156" t="str">
        <f aca="false">IF(D537="ista",G537,"")</f>
        <v/>
      </c>
    </row>
    <row r="538" customFormat="false" ht="13.5" hidden="false" customHeight="false" outlineLevel="0" collapsed="false">
      <c r="A538" s="160"/>
      <c r="B538" s="160"/>
      <c r="C538" s="160"/>
      <c r="D538" s="160"/>
      <c r="E538" s="160"/>
      <c r="F538" s="161"/>
      <c r="G538" s="161"/>
      <c r="H538" s="155" t="str">
        <f aca="false">IF(D538="Kaltwasser",G538-F538,"")</f>
        <v/>
      </c>
      <c r="I538" s="155" t="str">
        <f aca="false">IF(D538="Warmwasser",G538-F538,"")</f>
        <v/>
      </c>
      <c r="J538" s="156" t="str">
        <f aca="false">IF(D538="ista",G538,"")</f>
        <v/>
      </c>
    </row>
    <row r="539" customFormat="false" ht="13.5" hidden="false" customHeight="false" outlineLevel="0" collapsed="false">
      <c r="A539" s="160"/>
      <c r="B539" s="160"/>
      <c r="C539" s="160"/>
      <c r="D539" s="160"/>
      <c r="E539" s="160"/>
      <c r="F539" s="161"/>
      <c r="G539" s="161"/>
      <c r="H539" s="155" t="str">
        <f aca="false">IF(D539="Kaltwasser",G539-F539,"")</f>
        <v/>
      </c>
      <c r="I539" s="155" t="str">
        <f aca="false">IF(D539="Warmwasser",G539-F539,"")</f>
        <v/>
      </c>
      <c r="J539" s="156" t="str">
        <f aca="false">IF(D539="ista",G539,"")</f>
        <v/>
      </c>
    </row>
    <row r="540" customFormat="false" ht="13.5" hidden="false" customHeight="false" outlineLevel="0" collapsed="false">
      <c r="A540" s="160"/>
      <c r="B540" s="160"/>
      <c r="C540" s="160"/>
      <c r="D540" s="160"/>
      <c r="E540" s="160"/>
      <c r="F540" s="161"/>
      <c r="G540" s="161"/>
      <c r="H540" s="155" t="str">
        <f aca="false">IF(D540="Kaltwasser",G540-F540,"")</f>
        <v/>
      </c>
      <c r="I540" s="155" t="str">
        <f aca="false">IF(D540="Warmwasser",G540-F540,"")</f>
        <v/>
      </c>
      <c r="J540" s="156" t="str">
        <f aca="false">IF(D540="ista",G540,"")</f>
        <v/>
      </c>
    </row>
    <row r="541" customFormat="false" ht="13.5" hidden="false" customHeight="false" outlineLevel="0" collapsed="false">
      <c r="A541" s="160"/>
      <c r="B541" s="160"/>
      <c r="C541" s="160"/>
      <c r="D541" s="160"/>
      <c r="E541" s="160"/>
      <c r="F541" s="161"/>
      <c r="G541" s="161"/>
      <c r="H541" s="155" t="str">
        <f aca="false">IF(D541="Kaltwasser",G541-F541,"")</f>
        <v/>
      </c>
      <c r="I541" s="155" t="str">
        <f aca="false">IF(D541="Warmwasser",G541-F541,"")</f>
        <v/>
      </c>
      <c r="J541" s="156" t="str">
        <f aca="false">IF(D541="ista",G541,"")</f>
        <v/>
      </c>
    </row>
    <row r="542" customFormat="false" ht="13.5" hidden="false" customHeight="false" outlineLevel="0" collapsed="false">
      <c r="A542" s="160"/>
      <c r="B542" s="160"/>
      <c r="C542" s="160"/>
      <c r="D542" s="160"/>
      <c r="E542" s="160"/>
      <c r="F542" s="161"/>
      <c r="G542" s="161"/>
      <c r="H542" s="155" t="str">
        <f aca="false">IF(D542="Kaltwasser",G542-F542,"")</f>
        <v/>
      </c>
      <c r="I542" s="155" t="str">
        <f aca="false">IF(D542="Warmwasser",G542-F542,"")</f>
        <v/>
      </c>
      <c r="J542" s="156" t="str">
        <f aca="false">IF(D542="ista",G542,"")</f>
        <v/>
      </c>
    </row>
    <row r="543" customFormat="false" ht="13.5" hidden="false" customHeight="false" outlineLevel="0" collapsed="false">
      <c r="A543" s="160"/>
      <c r="B543" s="160"/>
      <c r="C543" s="160"/>
      <c r="D543" s="160"/>
      <c r="E543" s="160"/>
      <c r="F543" s="161"/>
      <c r="G543" s="161"/>
      <c r="H543" s="155" t="str">
        <f aca="false">IF(D543="Kaltwasser",G543-F543,"")</f>
        <v/>
      </c>
      <c r="I543" s="155" t="str">
        <f aca="false">IF(D543="Warmwasser",G543-F543,"")</f>
        <v/>
      </c>
      <c r="J543" s="156" t="str">
        <f aca="false">IF(D543="ista",G543,"")</f>
        <v/>
      </c>
    </row>
    <row r="544" customFormat="false" ht="13.5" hidden="false" customHeight="false" outlineLevel="0" collapsed="false">
      <c r="A544" s="160"/>
      <c r="B544" s="160"/>
      <c r="C544" s="160"/>
      <c r="D544" s="160"/>
      <c r="E544" s="160"/>
      <c r="F544" s="161"/>
      <c r="G544" s="161"/>
      <c r="H544" s="155" t="str">
        <f aca="false">IF(D544="Kaltwasser",G544-F544,"")</f>
        <v/>
      </c>
      <c r="I544" s="155" t="str">
        <f aca="false">IF(D544="Warmwasser",G544-F544,"")</f>
        <v/>
      </c>
      <c r="J544" s="156" t="str">
        <f aca="false">IF(D544="ista",G544,"")</f>
        <v/>
      </c>
    </row>
    <row r="545" customFormat="false" ht="13.5" hidden="false" customHeight="false" outlineLevel="0" collapsed="false">
      <c r="A545" s="160"/>
      <c r="B545" s="160"/>
      <c r="C545" s="160"/>
      <c r="D545" s="160"/>
      <c r="E545" s="160"/>
      <c r="F545" s="161"/>
      <c r="G545" s="161"/>
      <c r="H545" s="155" t="str">
        <f aca="false">IF(D545="Kaltwasser",G545-F545,"")</f>
        <v/>
      </c>
      <c r="I545" s="155" t="str">
        <f aca="false">IF(D545="Warmwasser",G545-F545,"")</f>
        <v/>
      </c>
      <c r="J545" s="156" t="str">
        <f aca="false">IF(D545="ista",G545,"")</f>
        <v/>
      </c>
    </row>
    <row r="546" customFormat="false" ht="13.5" hidden="false" customHeight="false" outlineLevel="0" collapsed="false">
      <c r="A546" s="160"/>
      <c r="B546" s="160"/>
      <c r="C546" s="160"/>
      <c r="D546" s="160"/>
      <c r="E546" s="160"/>
      <c r="F546" s="161"/>
      <c r="G546" s="161"/>
      <c r="H546" s="155" t="str">
        <f aca="false">IF(D546="Kaltwasser",G546-F546,"")</f>
        <v/>
      </c>
      <c r="I546" s="155" t="str">
        <f aca="false">IF(D546="Warmwasser",G546-F546,"")</f>
        <v/>
      </c>
      <c r="J546" s="156" t="str">
        <f aca="false">IF(D546="ista",G546,"")</f>
        <v/>
      </c>
    </row>
    <row r="547" customFormat="false" ht="13.5" hidden="false" customHeight="false" outlineLevel="0" collapsed="false">
      <c r="A547" s="160"/>
      <c r="B547" s="160"/>
      <c r="C547" s="160"/>
      <c r="D547" s="160"/>
      <c r="E547" s="160"/>
      <c r="F547" s="161"/>
      <c r="G547" s="161"/>
      <c r="H547" s="155" t="str">
        <f aca="false">IF(D547="Kaltwasser",G547-F547,"")</f>
        <v/>
      </c>
      <c r="I547" s="155" t="str">
        <f aca="false">IF(D547="Warmwasser",G547-F547,"")</f>
        <v/>
      </c>
      <c r="J547" s="156" t="str">
        <f aca="false">IF(D547="ista",G547,"")</f>
        <v/>
      </c>
    </row>
    <row r="548" customFormat="false" ht="13.5" hidden="false" customHeight="false" outlineLevel="0" collapsed="false">
      <c r="A548" s="160"/>
      <c r="B548" s="160"/>
      <c r="C548" s="160"/>
      <c r="D548" s="160"/>
      <c r="E548" s="160"/>
      <c r="F548" s="161"/>
      <c r="G548" s="161"/>
      <c r="H548" s="155" t="str">
        <f aca="false">IF(D548="Kaltwasser",G548-F548,"")</f>
        <v/>
      </c>
      <c r="I548" s="155" t="str">
        <f aca="false">IF(D548="Warmwasser",G548-F548,"")</f>
        <v/>
      </c>
      <c r="J548" s="156" t="str">
        <f aca="false">IF(D548="ista",G548,"")</f>
        <v/>
      </c>
    </row>
    <row r="549" customFormat="false" ht="13.5" hidden="false" customHeight="false" outlineLevel="0" collapsed="false">
      <c r="A549" s="160"/>
      <c r="B549" s="160"/>
      <c r="C549" s="160"/>
      <c r="D549" s="160"/>
      <c r="E549" s="160"/>
      <c r="F549" s="161"/>
      <c r="G549" s="161"/>
      <c r="H549" s="155" t="str">
        <f aca="false">IF(D549="Kaltwasser",G549-F549,"")</f>
        <v/>
      </c>
      <c r="I549" s="155" t="str">
        <f aca="false">IF(D549="Warmwasser",G549-F549,"")</f>
        <v/>
      </c>
      <c r="J549" s="156" t="str">
        <f aca="false">IF(D549="ista",G549,"")</f>
        <v/>
      </c>
    </row>
    <row r="550" customFormat="false" ht="13.5" hidden="false" customHeight="false" outlineLevel="0" collapsed="false">
      <c r="A550" s="160"/>
      <c r="B550" s="160"/>
      <c r="C550" s="160"/>
      <c r="D550" s="160"/>
      <c r="E550" s="160"/>
      <c r="F550" s="161"/>
      <c r="G550" s="161"/>
      <c r="H550" s="155" t="str">
        <f aca="false">IF(D550="Kaltwasser",G550-F550,"")</f>
        <v/>
      </c>
      <c r="I550" s="155" t="str">
        <f aca="false">IF(D550="Warmwasser",G550-F550,"")</f>
        <v/>
      </c>
      <c r="J550" s="156" t="str">
        <f aca="false">IF(D550="ista",G550,"")</f>
        <v/>
      </c>
    </row>
    <row r="551" customFormat="false" ht="13.5" hidden="false" customHeight="false" outlineLevel="0" collapsed="false">
      <c r="A551" s="160"/>
      <c r="B551" s="160"/>
      <c r="C551" s="160"/>
      <c r="D551" s="160"/>
      <c r="E551" s="160"/>
      <c r="F551" s="161"/>
      <c r="G551" s="161"/>
      <c r="H551" s="155" t="str">
        <f aca="false">IF(D551="Kaltwasser",G551-F551,"")</f>
        <v/>
      </c>
      <c r="I551" s="155" t="str">
        <f aca="false">IF(D551="Warmwasser",G551-F551,"")</f>
        <v/>
      </c>
      <c r="J551" s="156" t="str">
        <f aca="false">IF(D551="ista",G551,"")</f>
        <v/>
      </c>
    </row>
    <row r="552" customFormat="false" ht="13.5" hidden="false" customHeight="false" outlineLevel="0" collapsed="false">
      <c r="A552" s="160"/>
      <c r="B552" s="160"/>
      <c r="C552" s="160"/>
      <c r="D552" s="160"/>
      <c r="E552" s="160"/>
      <c r="F552" s="161"/>
      <c r="G552" s="161"/>
      <c r="H552" s="155" t="str">
        <f aca="false">IF(D552="Kaltwasser",G552-F552,"")</f>
        <v/>
      </c>
      <c r="I552" s="155" t="str">
        <f aca="false">IF(D552="Warmwasser",G552-F552,"")</f>
        <v/>
      </c>
      <c r="J552" s="156" t="str">
        <f aca="false">IF(D552="ista",G552,"")</f>
        <v/>
      </c>
    </row>
    <row r="553" customFormat="false" ht="13.5" hidden="false" customHeight="false" outlineLevel="0" collapsed="false">
      <c r="A553" s="160"/>
      <c r="B553" s="160"/>
      <c r="C553" s="160"/>
      <c r="D553" s="160"/>
      <c r="E553" s="160"/>
      <c r="F553" s="161"/>
      <c r="G553" s="161"/>
      <c r="H553" s="155" t="str">
        <f aca="false">IF(D553="Kaltwasser",G553-F553,"")</f>
        <v/>
      </c>
      <c r="I553" s="155" t="str">
        <f aca="false">IF(D553="Warmwasser",G553-F553,"")</f>
        <v/>
      </c>
      <c r="J553" s="156" t="str">
        <f aca="false">IF(D553="ista",G553,"")</f>
        <v/>
      </c>
    </row>
    <row r="554" customFormat="false" ht="13.5" hidden="false" customHeight="false" outlineLevel="0" collapsed="false">
      <c r="A554" s="160"/>
      <c r="B554" s="160"/>
      <c r="C554" s="160"/>
      <c r="D554" s="160"/>
      <c r="E554" s="160"/>
      <c r="F554" s="161"/>
      <c r="G554" s="161"/>
      <c r="H554" s="155" t="str">
        <f aca="false">IF(D554="Kaltwasser",G554-F554,"")</f>
        <v/>
      </c>
      <c r="I554" s="155" t="str">
        <f aca="false">IF(D554="Warmwasser",G554-F554,"")</f>
        <v/>
      </c>
      <c r="J554" s="156" t="str">
        <f aca="false">IF(D554="ista",G554,"")</f>
        <v/>
      </c>
    </row>
    <row r="555" customFormat="false" ht="13.5" hidden="false" customHeight="false" outlineLevel="0" collapsed="false">
      <c r="A555" s="160"/>
      <c r="B555" s="160"/>
      <c r="C555" s="160"/>
      <c r="D555" s="160"/>
      <c r="E555" s="160"/>
      <c r="F555" s="161"/>
      <c r="G555" s="161"/>
      <c r="H555" s="155" t="str">
        <f aca="false">IF(D555="Kaltwasser",G555-F555,"")</f>
        <v/>
      </c>
      <c r="I555" s="155" t="str">
        <f aca="false">IF(D555="Warmwasser",G555-F555,"")</f>
        <v/>
      </c>
      <c r="J555" s="156" t="str">
        <f aca="false">IF(D555="ista",G555,"")</f>
        <v/>
      </c>
    </row>
    <row r="556" customFormat="false" ht="13.5" hidden="false" customHeight="false" outlineLevel="0" collapsed="false">
      <c r="A556" s="160"/>
      <c r="B556" s="160"/>
      <c r="C556" s="160"/>
      <c r="D556" s="160"/>
      <c r="E556" s="160"/>
      <c r="F556" s="161"/>
      <c r="G556" s="161"/>
      <c r="H556" s="155" t="str">
        <f aca="false">IF(D556="Kaltwasser",G556-F556,"")</f>
        <v/>
      </c>
      <c r="I556" s="155" t="str">
        <f aca="false">IF(D556="Warmwasser",G556-F556,"")</f>
        <v/>
      </c>
      <c r="J556" s="156" t="str">
        <f aca="false">IF(D556="ista",G556,"")</f>
        <v/>
      </c>
    </row>
    <row r="557" customFormat="false" ht="13.5" hidden="false" customHeight="false" outlineLevel="0" collapsed="false">
      <c r="A557" s="160"/>
      <c r="B557" s="160"/>
      <c r="C557" s="160"/>
      <c r="D557" s="160"/>
      <c r="E557" s="160"/>
      <c r="F557" s="161"/>
      <c r="G557" s="161"/>
      <c r="H557" s="155" t="str">
        <f aca="false">IF(D557="Kaltwasser",G557-F557,"")</f>
        <v/>
      </c>
      <c r="I557" s="155" t="str">
        <f aca="false">IF(D557="Warmwasser",G557-F557,"")</f>
        <v/>
      </c>
      <c r="J557" s="156" t="str">
        <f aca="false">IF(D557="ista",G557,"")</f>
        <v/>
      </c>
    </row>
    <row r="558" customFormat="false" ht="13.5" hidden="false" customHeight="false" outlineLevel="0" collapsed="false">
      <c r="A558" s="160"/>
      <c r="B558" s="160"/>
      <c r="C558" s="160"/>
      <c r="D558" s="160"/>
      <c r="E558" s="160"/>
      <c r="F558" s="161"/>
      <c r="G558" s="161"/>
      <c r="H558" s="155" t="str">
        <f aca="false">IF(D558="Kaltwasser",G558-F558,"")</f>
        <v/>
      </c>
      <c r="I558" s="155" t="str">
        <f aca="false">IF(D558="Warmwasser",G558-F558,"")</f>
        <v/>
      </c>
      <c r="J558" s="156" t="str">
        <f aca="false">IF(D558="ista",G558,"")</f>
        <v/>
      </c>
    </row>
    <row r="559" customFormat="false" ht="13.5" hidden="false" customHeight="false" outlineLevel="0" collapsed="false">
      <c r="A559" s="160"/>
      <c r="B559" s="160"/>
      <c r="C559" s="160"/>
      <c r="D559" s="160"/>
      <c r="E559" s="160"/>
      <c r="F559" s="161"/>
      <c r="G559" s="161"/>
      <c r="H559" s="155" t="str">
        <f aca="false">IF(D559="Kaltwasser",G559-F559,"")</f>
        <v/>
      </c>
      <c r="I559" s="155" t="str">
        <f aca="false">IF(D559="Warmwasser",G559-F559,"")</f>
        <v/>
      </c>
      <c r="J559" s="156" t="str">
        <f aca="false">IF(D559="ista",G559,"")</f>
        <v/>
      </c>
    </row>
    <row r="560" customFormat="false" ht="13.5" hidden="false" customHeight="false" outlineLevel="0" collapsed="false">
      <c r="A560" s="160"/>
      <c r="B560" s="160"/>
      <c r="C560" s="160"/>
      <c r="D560" s="160"/>
      <c r="E560" s="160"/>
      <c r="F560" s="161"/>
      <c r="G560" s="161"/>
      <c r="H560" s="155" t="str">
        <f aca="false">IF(D560="Kaltwasser",G560-F560,"")</f>
        <v/>
      </c>
      <c r="I560" s="155" t="str">
        <f aca="false">IF(D560="Warmwasser",G560-F560,"")</f>
        <v/>
      </c>
      <c r="J560" s="156" t="str">
        <f aca="false">IF(D560="ista",G560,"")</f>
        <v/>
      </c>
    </row>
    <row r="561" customFormat="false" ht="13.5" hidden="false" customHeight="false" outlineLevel="0" collapsed="false">
      <c r="A561" s="160"/>
      <c r="B561" s="160"/>
      <c r="C561" s="160"/>
      <c r="D561" s="160"/>
      <c r="E561" s="160"/>
      <c r="F561" s="161"/>
      <c r="G561" s="161"/>
      <c r="H561" s="155" t="str">
        <f aca="false">IF(D561="Kaltwasser",G561-F561,"")</f>
        <v/>
      </c>
      <c r="I561" s="155" t="str">
        <f aca="false">IF(D561="Warmwasser",G561-F561,"")</f>
        <v/>
      </c>
      <c r="J561" s="156" t="str">
        <f aca="false">IF(D561="ista",G561,"")</f>
        <v/>
      </c>
    </row>
    <row r="562" customFormat="false" ht="13.5" hidden="false" customHeight="false" outlineLevel="0" collapsed="false">
      <c r="A562" s="160"/>
      <c r="B562" s="160"/>
      <c r="C562" s="160"/>
      <c r="D562" s="160"/>
      <c r="E562" s="160"/>
      <c r="F562" s="161"/>
      <c r="G562" s="161"/>
      <c r="H562" s="155" t="str">
        <f aca="false">IF(D562="Kaltwasser",G562-F562,"")</f>
        <v/>
      </c>
      <c r="I562" s="155" t="str">
        <f aca="false">IF(D562="Warmwasser",G562-F562,"")</f>
        <v/>
      </c>
      <c r="J562" s="156" t="str">
        <f aca="false">IF(D562="ista",G562,"")</f>
        <v/>
      </c>
    </row>
    <row r="563" customFormat="false" ht="13.5" hidden="false" customHeight="false" outlineLevel="0" collapsed="false">
      <c r="A563" s="160"/>
      <c r="B563" s="160"/>
      <c r="C563" s="160"/>
      <c r="D563" s="160"/>
      <c r="E563" s="160"/>
      <c r="F563" s="161"/>
      <c r="G563" s="161"/>
      <c r="H563" s="155" t="str">
        <f aca="false">IF(D563="Kaltwasser",G563-F563,"")</f>
        <v/>
      </c>
      <c r="I563" s="155" t="str">
        <f aca="false">IF(D563="Warmwasser",G563-F563,"")</f>
        <v/>
      </c>
      <c r="J563" s="156" t="str">
        <f aca="false">IF(D563="ista",G563,"")</f>
        <v/>
      </c>
    </row>
    <row r="564" customFormat="false" ht="13.5" hidden="false" customHeight="false" outlineLevel="0" collapsed="false">
      <c r="A564" s="160"/>
      <c r="B564" s="160"/>
      <c r="C564" s="160"/>
      <c r="D564" s="160"/>
      <c r="E564" s="160"/>
      <c r="F564" s="161"/>
      <c r="G564" s="161"/>
      <c r="H564" s="155" t="str">
        <f aca="false">IF(D564="Kaltwasser",G564-F564,"")</f>
        <v/>
      </c>
      <c r="I564" s="155" t="str">
        <f aca="false">IF(D564="Warmwasser",G564-F564,"")</f>
        <v/>
      </c>
      <c r="J564" s="156" t="str">
        <f aca="false">IF(D564="ista",G564,"")</f>
        <v/>
      </c>
    </row>
    <row r="565" customFormat="false" ht="13.5" hidden="false" customHeight="false" outlineLevel="0" collapsed="false">
      <c r="A565" s="160"/>
      <c r="B565" s="160"/>
      <c r="C565" s="160"/>
      <c r="D565" s="160"/>
      <c r="E565" s="160"/>
      <c r="F565" s="161"/>
      <c r="G565" s="161"/>
      <c r="H565" s="155" t="str">
        <f aca="false">IF(D565="Kaltwasser",G565-F565,"")</f>
        <v/>
      </c>
      <c r="I565" s="155" t="str">
        <f aca="false">IF(D565="Warmwasser",G565-F565,"")</f>
        <v/>
      </c>
      <c r="J565" s="156" t="str">
        <f aca="false">IF(D565="ista",G565,"")</f>
        <v/>
      </c>
    </row>
    <row r="566" customFormat="false" ht="13.5" hidden="false" customHeight="false" outlineLevel="0" collapsed="false">
      <c r="A566" s="160"/>
      <c r="B566" s="160"/>
      <c r="C566" s="160"/>
      <c r="D566" s="160"/>
      <c r="E566" s="160"/>
      <c r="F566" s="161"/>
      <c r="G566" s="161"/>
      <c r="H566" s="155" t="str">
        <f aca="false">IF(D566="Kaltwasser",G566-F566,"")</f>
        <v/>
      </c>
      <c r="I566" s="155" t="str">
        <f aca="false">IF(D566="Warmwasser",G566-F566,"")</f>
        <v/>
      </c>
      <c r="J566" s="156" t="str">
        <f aca="false">IF(D566="ista",G566,"")</f>
        <v/>
      </c>
    </row>
    <row r="567" customFormat="false" ht="13.5" hidden="false" customHeight="false" outlineLevel="0" collapsed="false">
      <c r="A567" s="160"/>
      <c r="B567" s="160"/>
      <c r="C567" s="160"/>
      <c r="D567" s="160"/>
      <c r="E567" s="160"/>
      <c r="F567" s="161"/>
      <c r="G567" s="161"/>
      <c r="H567" s="155" t="str">
        <f aca="false">IF(D567="Kaltwasser",G567-F567,"")</f>
        <v/>
      </c>
      <c r="I567" s="155" t="str">
        <f aca="false">IF(D567="Warmwasser",G567-F567,"")</f>
        <v/>
      </c>
      <c r="J567" s="156" t="str">
        <f aca="false">IF(D567="ista",G567,"")</f>
        <v/>
      </c>
    </row>
    <row r="568" customFormat="false" ht="13.5" hidden="false" customHeight="false" outlineLevel="0" collapsed="false">
      <c r="A568" s="160"/>
      <c r="B568" s="160"/>
      <c r="C568" s="160"/>
      <c r="D568" s="160"/>
      <c r="E568" s="160"/>
      <c r="F568" s="161"/>
      <c r="G568" s="161"/>
      <c r="H568" s="155" t="str">
        <f aca="false">IF(D568="Kaltwasser",G568-F568,"")</f>
        <v/>
      </c>
      <c r="I568" s="155" t="str">
        <f aca="false">IF(D568="Warmwasser",G568-F568,"")</f>
        <v/>
      </c>
      <c r="J568" s="156" t="str">
        <f aca="false">IF(D568="ista",G568,"")</f>
        <v/>
      </c>
    </row>
    <row r="569" customFormat="false" ht="13.5" hidden="false" customHeight="false" outlineLevel="0" collapsed="false">
      <c r="A569" s="160"/>
      <c r="B569" s="160"/>
      <c r="C569" s="160"/>
      <c r="D569" s="160"/>
      <c r="E569" s="160"/>
      <c r="F569" s="161"/>
      <c r="G569" s="161"/>
      <c r="H569" s="155" t="str">
        <f aca="false">IF(D569="Kaltwasser",G569-F569,"")</f>
        <v/>
      </c>
      <c r="I569" s="155" t="str">
        <f aca="false">IF(D569="Warmwasser",G569-F569,"")</f>
        <v/>
      </c>
      <c r="J569" s="156" t="str">
        <f aca="false">IF(D569="ista",G569,"")</f>
        <v/>
      </c>
    </row>
    <row r="570" customFormat="false" ht="13.5" hidden="false" customHeight="false" outlineLevel="0" collapsed="false">
      <c r="A570" s="160"/>
      <c r="B570" s="160"/>
      <c r="C570" s="160"/>
      <c r="D570" s="160"/>
      <c r="E570" s="160"/>
      <c r="F570" s="161"/>
      <c r="G570" s="161"/>
      <c r="H570" s="155" t="str">
        <f aca="false">IF(D570="Kaltwasser",G570-F570,"")</f>
        <v/>
      </c>
      <c r="I570" s="155" t="str">
        <f aca="false">IF(D570="Warmwasser",G570-F570,"")</f>
        <v/>
      </c>
      <c r="J570" s="156" t="str">
        <f aca="false">IF(D570="ista",G570,"")</f>
        <v/>
      </c>
    </row>
    <row r="571" customFormat="false" ht="13.5" hidden="false" customHeight="false" outlineLevel="0" collapsed="false">
      <c r="A571" s="160"/>
      <c r="B571" s="160"/>
      <c r="C571" s="160"/>
      <c r="D571" s="160"/>
      <c r="E571" s="160"/>
      <c r="F571" s="161"/>
      <c r="G571" s="161"/>
      <c r="H571" s="155" t="str">
        <f aca="false">IF(D571="Kaltwasser",G571-F571,"")</f>
        <v/>
      </c>
      <c r="I571" s="155" t="str">
        <f aca="false">IF(D571="Warmwasser",G571-F571,"")</f>
        <v/>
      </c>
      <c r="J571" s="156" t="str">
        <f aca="false">IF(D571="ista",G571,"")</f>
        <v/>
      </c>
    </row>
    <row r="572" customFormat="false" ht="13.5" hidden="false" customHeight="false" outlineLevel="0" collapsed="false">
      <c r="A572" s="160"/>
      <c r="B572" s="160"/>
      <c r="C572" s="160"/>
      <c r="D572" s="160"/>
      <c r="E572" s="160"/>
      <c r="F572" s="161"/>
      <c r="G572" s="161"/>
      <c r="H572" s="155" t="str">
        <f aca="false">IF(D572="Kaltwasser",G572-F572,"")</f>
        <v/>
      </c>
      <c r="I572" s="155" t="str">
        <f aca="false">IF(D572="Warmwasser",G572-F572,"")</f>
        <v/>
      </c>
      <c r="J572" s="156" t="str">
        <f aca="false">IF(D572="ista",G572,"")</f>
        <v/>
      </c>
    </row>
    <row r="573" customFormat="false" ht="13.5" hidden="false" customHeight="false" outlineLevel="0" collapsed="false">
      <c r="A573" s="160"/>
      <c r="B573" s="160"/>
      <c r="C573" s="160"/>
      <c r="D573" s="160"/>
      <c r="E573" s="160"/>
      <c r="F573" s="161"/>
      <c r="G573" s="161"/>
      <c r="H573" s="155" t="str">
        <f aca="false">IF(D573="Kaltwasser",G573-F573,"")</f>
        <v/>
      </c>
      <c r="I573" s="155" t="str">
        <f aca="false">IF(D573="Warmwasser",G573-F573,"")</f>
        <v/>
      </c>
      <c r="J573" s="156" t="str">
        <f aca="false">IF(D573="ista",G573,"")</f>
        <v/>
      </c>
    </row>
    <row r="574" customFormat="false" ht="13.5" hidden="false" customHeight="false" outlineLevel="0" collapsed="false">
      <c r="A574" s="160"/>
      <c r="B574" s="160"/>
      <c r="C574" s="160"/>
      <c r="D574" s="160"/>
      <c r="E574" s="160"/>
      <c r="F574" s="161"/>
      <c r="G574" s="161"/>
      <c r="H574" s="155" t="str">
        <f aca="false">IF(D574="Kaltwasser",G574-F574,"")</f>
        <v/>
      </c>
      <c r="I574" s="155" t="str">
        <f aca="false">IF(D574="Warmwasser",G574-F574,"")</f>
        <v/>
      </c>
      <c r="J574" s="156" t="str">
        <f aca="false">IF(D574="ista",G574,"")</f>
        <v/>
      </c>
    </row>
    <row r="575" customFormat="false" ht="13.5" hidden="false" customHeight="false" outlineLevel="0" collapsed="false">
      <c r="A575" s="160"/>
      <c r="B575" s="160"/>
      <c r="C575" s="160"/>
      <c r="D575" s="160"/>
      <c r="E575" s="160"/>
      <c r="F575" s="161"/>
      <c r="G575" s="161"/>
      <c r="H575" s="155" t="str">
        <f aca="false">IF(D575="Kaltwasser",G575-F575,"")</f>
        <v/>
      </c>
      <c r="I575" s="155" t="str">
        <f aca="false">IF(D575="Warmwasser",G575-F575,"")</f>
        <v/>
      </c>
      <c r="J575" s="156" t="str">
        <f aca="false">IF(D575="ista",G575,"")</f>
        <v/>
      </c>
    </row>
    <row r="576" customFormat="false" ht="13.5" hidden="false" customHeight="false" outlineLevel="0" collapsed="false">
      <c r="A576" s="160"/>
      <c r="B576" s="160"/>
      <c r="C576" s="160"/>
      <c r="D576" s="160"/>
      <c r="E576" s="160"/>
      <c r="F576" s="161"/>
      <c r="G576" s="161"/>
      <c r="H576" s="155" t="str">
        <f aca="false">IF(D576="Kaltwasser",G576-F576,"")</f>
        <v/>
      </c>
      <c r="I576" s="155" t="str">
        <f aca="false">IF(D576="Warmwasser",G576-F576,"")</f>
        <v/>
      </c>
      <c r="J576" s="156" t="str">
        <f aca="false">IF(D576="ista",G576,"")</f>
        <v/>
      </c>
    </row>
    <row r="577" customFormat="false" ht="13.5" hidden="false" customHeight="false" outlineLevel="0" collapsed="false">
      <c r="A577" s="160"/>
      <c r="B577" s="160"/>
      <c r="C577" s="160"/>
      <c r="D577" s="160"/>
      <c r="E577" s="160"/>
      <c r="F577" s="161"/>
      <c r="G577" s="161"/>
      <c r="H577" s="155" t="str">
        <f aca="false">IF(D577="Kaltwasser",G577-F577,"")</f>
        <v/>
      </c>
      <c r="I577" s="155" t="str">
        <f aca="false">IF(D577="Warmwasser",G577-F577,"")</f>
        <v/>
      </c>
      <c r="J577" s="156" t="str">
        <f aca="false">IF(D577="ista",G577,"")</f>
        <v/>
      </c>
    </row>
    <row r="578" customFormat="false" ht="13.5" hidden="false" customHeight="false" outlineLevel="0" collapsed="false">
      <c r="A578" s="160"/>
      <c r="B578" s="160"/>
      <c r="C578" s="160"/>
      <c r="D578" s="160"/>
      <c r="E578" s="160"/>
      <c r="F578" s="161"/>
      <c r="G578" s="161"/>
      <c r="H578" s="155" t="str">
        <f aca="false">IF(D578="Kaltwasser",G578-F578,"")</f>
        <v/>
      </c>
      <c r="I578" s="155" t="str">
        <f aca="false">IF(D578="Warmwasser",G578-F578,"")</f>
        <v/>
      </c>
      <c r="J578" s="156" t="str">
        <f aca="false">IF(D578="ista",G578,"")</f>
        <v/>
      </c>
    </row>
    <row r="579" customFormat="false" ht="13.5" hidden="false" customHeight="false" outlineLevel="0" collapsed="false">
      <c r="A579" s="160"/>
      <c r="B579" s="160"/>
      <c r="C579" s="160"/>
      <c r="D579" s="160"/>
      <c r="E579" s="160"/>
      <c r="F579" s="161"/>
      <c r="G579" s="161"/>
      <c r="H579" s="155" t="str">
        <f aca="false">IF(D579="Kaltwasser",G579-F579,"")</f>
        <v/>
      </c>
      <c r="I579" s="155" t="str">
        <f aca="false">IF(D579="Warmwasser",G579-F579,"")</f>
        <v/>
      </c>
      <c r="J579" s="156" t="str">
        <f aca="false">IF(D579="ista",G579,"")</f>
        <v/>
      </c>
    </row>
    <row r="580" customFormat="false" ht="13.5" hidden="false" customHeight="false" outlineLevel="0" collapsed="false">
      <c r="A580" s="160"/>
      <c r="B580" s="160"/>
      <c r="C580" s="160"/>
      <c r="D580" s="160"/>
      <c r="E580" s="160"/>
      <c r="F580" s="161"/>
      <c r="G580" s="161"/>
      <c r="H580" s="155" t="str">
        <f aca="false">IF(D580="Kaltwasser",G580-F580,"")</f>
        <v/>
      </c>
      <c r="I580" s="155" t="str">
        <f aca="false">IF(D580="Warmwasser",G580-F580,"")</f>
        <v/>
      </c>
      <c r="J580" s="156" t="str">
        <f aca="false">IF(D580="ista",G580,"")</f>
        <v/>
      </c>
    </row>
    <row r="581" customFormat="false" ht="13.5" hidden="false" customHeight="false" outlineLevel="0" collapsed="false">
      <c r="A581" s="160"/>
      <c r="B581" s="160"/>
      <c r="C581" s="160"/>
      <c r="D581" s="160"/>
      <c r="E581" s="160"/>
      <c r="F581" s="161"/>
      <c r="G581" s="161"/>
      <c r="H581" s="155" t="str">
        <f aca="false">IF(D581="Kaltwasser",G581-F581,"")</f>
        <v/>
      </c>
      <c r="I581" s="155" t="str">
        <f aca="false">IF(D581="Warmwasser",G581-F581,"")</f>
        <v/>
      </c>
      <c r="J581" s="156" t="str">
        <f aca="false">IF(D581="ista",G581,"")</f>
        <v/>
      </c>
    </row>
    <row r="582" customFormat="false" ht="13.5" hidden="false" customHeight="false" outlineLevel="0" collapsed="false">
      <c r="A582" s="160"/>
      <c r="B582" s="160"/>
      <c r="C582" s="160"/>
      <c r="D582" s="160"/>
      <c r="E582" s="160"/>
      <c r="F582" s="161"/>
      <c r="G582" s="161"/>
      <c r="H582" s="155" t="str">
        <f aca="false">IF(D582="Kaltwasser",G582-F582,"")</f>
        <v/>
      </c>
      <c r="I582" s="155" t="str">
        <f aca="false">IF(D582="Warmwasser",G582-F582,"")</f>
        <v/>
      </c>
      <c r="J582" s="156" t="str">
        <f aca="false">IF(D582="ista",G582,"")</f>
        <v/>
      </c>
    </row>
    <row r="583" customFormat="false" ht="13.5" hidden="false" customHeight="false" outlineLevel="0" collapsed="false">
      <c r="A583" s="160"/>
      <c r="B583" s="160"/>
      <c r="C583" s="160"/>
      <c r="D583" s="160"/>
      <c r="E583" s="160"/>
      <c r="F583" s="161"/>
      <c r="G583" s="161"/>
      <c r="H583" s="155" t="str">
        <f aca="false">IF(D583="Kaltwasser",G583-F583,"")</f>
        <v/>
      </c>
      <c r="I583" s="155" t="str">
        <f aca="false">IF(D583="Warmwasser",G583-F583,"")</f>
        <v/>
      </c>
      <c r="J583" s="156" t="str">
        <f aca="false">IF(D583="ista",G583,"")</f>
        <v/>
      </c>
    </row>
    <row r="584" customFormat="false" ht="13.5" hidden="false" customHeight="false" outlineLevel="0" collapsed="false">
      <c r="A584" s="160"/>
      <c r="B584" s="160"/>
      <c r="C584" s="160"/>
      <c r="D584" s="160"/>
      <c r="E584" s="160"/>
      <c r="F584" s="161"/>
      <c r="G584" s="161"/>
      <c r="H584" s="155" t="str">
        <f aca="false">IF(D584="Kaltwasser",G584-F584,"")</f>
        <v/>
      </c>
      <c r="I584" s="155" t="str">
        <f aca="false">IF(D584="Warmwasser",G584-F584,"")</f>
        <v/>
      </c>
      <c r="J584" s="156" t="str">
        <f aca="false">IF(D584="ista",G584,"")</f>
        <v/>
      </c>
    </row>
    <row r="585" customFormat="false" ht="13.5" hidden="false" customHeight="false" outlineLevel="0" collapsed="false">
      <c r="A585" s="160"/>
      <c r="B585" s="160"/>
      <c r="C585" s="160"/>
      <c r="D585" s="160"/>
      <c r="E585" s="160"/>
      <c r="F585" s="161"/>
      <c r="G585" s="161"/>
      <c r="H585" s="155" t="str">
        <f aca="false">IF(D585="Kaltwasser",G585-F585,"")</f>
        <v/>
      </c>
      <c r="I585" s="155" t="str">
        <f aca="false">IF(D585="Warmwasser",G585-F585,"")</f>
        <v/>
      </c>
      <c r="J585" s="156" t="str">
        <f aca="false">IF(D585="ista",G585,"")</f>
        <v/>
      </c>
    </row>
    <row r="586" customFormat="false" ht="13.5" hidden="false" customHeight="false" outlineLevel="0" collapsed="false">
      <c r="A586" s="160"/>
      <c r="B586" s="160"/>
      <c r="C586" s="160"/>
      <c r="D586" s="160"/>
      <c r="E586" s="160"/>
      <c r="F586" s="161"/>
      <c r="G586" s="161"/>
      <c r="H586" s="155" t="str">
        <f aca="false">IF(D586="Kaltwasser",G586-F586,"")</f>
        <v/>
      </c>
      <c r="I586" s="155" t="str">
        <f aca="false">IF(D586="Warmwasser",G586-F586,"")</f>
        <v/>
      </c>
      <c r="J586" s="156" t="str">
        <f aca="false">IF(D586="ista",G586,"")</f>
        <v/>
      </c>
    </row>
    <row r="587" customFormat="false" ht="13.5" hidden="false" customHeight="false" outlineLevel="0" collapsed="false">
      <c r="A587" s="160"/>
      <c r="B587" s="160"/>
      <c r="C587" s="160"/>
      <c r="D587" s="160"/>
      <c r="E587" s="160"/>
      <c r="F587" s="161"/>
      <c r="G587" s="161"/>
      <c r="H587" s="155" t="str">
        <f aca="false">IF(D587="Kaltwasser",G587-F587,"")</f>
        <v/>
      </c>
      <c r="I587" s="155" t="str">
        <f aca="false">IF(D587="Warmwasser",G587-F587,"")</f>
        <v/>
      </c>
      <c r="J587" s="156" t="str">
        <f aca="false">IF(D587="ista",G587,"")</f>
        <v/>
      </c>
    </row>
    <row r="588" customFormat="false" ht="13.5" hidden="false" customHeight="false" outlineLevel="0" collapsed="false">
      <c r="A588" s="160"/>
      <c r="B588" s="160"/>
      <c r="C588" s="160"/>
      <c r="D588" s="160"/>
      <c r="E588" s="160"/>
      <c r="F588" s="161"/>
      <c r="G588" s="161"/>
      <c r="H588" s="155" t="str">
        <f aca="false">IF(D588="Kaltwasser",G588-F588,"")</f>
        <v/>
      </c>
      <c r="I588" s="155" t="str">
        <f aca="false">IF(D588="Warmwasser",G588-F588,"")</f>
        <v/>
      </c>
      <c r="J588" s="156" t="str">
        <f aca="false">IF(D588="ista",G588,"")</f>
        <v/>
      </c>
    </row>
    <row r="589" customFormat="false" ht="13.5" hidden="false" customHeight="false" outlineLevel="0" collapsed="false">
      <c r="A589" s="160"/>
      <c r="B589" s="160"/>
      <c r="C589" s="160"/>
      <c r="D589" s="160"/>
      <c r="E589" s="160"/>
      <c r="F589" s="161"/>
      <c r="G589" s="161"/>
      <c r="H589" s="155" t="str">
        <f aca="false">IF(D589="Kaltwasser",G589-F589,"")</f>
        <v/>
      </c>
      <c r="I589" s="155" t="str">
        <f aca="false">IF(D589="Warmwasser",G589-F589,"")</f>
        <v/>
      </c>
      <c r="J589" s="156" t="str">
        <f aca="false">IF(D589="ista",G589,"")</f>
        <v/>
      </c>
    </row>
    <row r="590" customFormat="false" ht="13.5" hidden="false" customHeight="false" outlineLevel="0" collapsed="false">
      <c r="A590" s="160"/>
      <c r="B590" s="160"/>
      <c r="C590" s="160"/>
      <c r="D590" s="160"/>
      <c r="E590" s="160"/>
      <c r="F590" s="161"/>
      <c r="G590" s="161"/>
      <c r="H590" s="155" t="str">
        <f aca="false">IF(D590="Kaltwasser",G590-F590,"")</f>
        <v/>
      </c>
      <c r="I590" s="155" t="str">
        <f aca="false">IF(D590="Warmwasser",G590-F590,"")</f>
        <v/>
      </c>
      <c r="J590" s="156" t="str">
        <f aca="false">IF(D590="ista",G590,"")</f>
        <v/>
      </c>
    </row>
    <row r="591" customFormat="false" ht="13.5" hidden="false" customHeight="false" outlineLevel="0" collapsed="false">
      <c r="A591" s="160"/>
      <c r="B591" s="160"/>
      <c r="C591" s="160"/>
      <c r="D591" s="160"/>
      <c r="E591" s="160"/>
      <c r="F591" s="161"/>
      <c r="G591" s="161"/>
      <c r="H591" s="155" t="str">
        <f aca="false">IF(D591="Kaltwasser",G591-F591,"")</f>
        <v/>
      </c>
      <c r="I591" s="155" t="str">
        <f aca="false">IF(D591="Warmwasser",G591-F591,"")</f>
        <v/>
      </c>
      <c r="J591" s="156" t="str">
        <f aca="false">IF(D591="ista",G591,"")</f>
        <v/>
      </c>
    </row>
    <row r="592" customFormat="false" ht="13.5" hidden="false" customHeight="false" outlineLevel="0" collapsed="false">
      <c r="A592" s="160"/>
      <c r="B592" s="160"/>
      <c r="C592" s="160"/>
      <c r="D592" s="160"/>
      <c r="E592" s="160"/>
      <c r="F592" s="161"/>
      <c r="G592" s="161"/>
      <c r="H592" s="155" t="str">
        <f aca="false">IF(D592="Kaltwasser",G592-F592,"")</f>
        <v/>
      </c>
      <c r="I592" s="155" t="str">
        <f aca="false">IF(D592="Warmwasser",G592-F592,"")</f>
        <v/>
      </c>
      <c r="J592" s="156" t="str">
        <f aca="false">IF(D592="ista",G592,"")</f>
        <v/>
      </c>
    </row>
    <row r="593" customFormat="false" ht="13.5" hidden="false" customHeight="false" outlineLevel="0" collapsed="false">
      <c r="A593" s="160"/>
      <c r="B593" s="160"/>
      <c r="C593" s="160"/>
      <c r="D593" s="160"/>
      <c r="E593" s="160"/>
      <c r="F593" s="161"/>
      <c r="G593" s="161"/>
      <c r="H593" s="155" t="str">
        <f aca="false">IF(D593="Kaltwasser",G593-F593,"")</f>
        <v/>
      </c>
      <c r="I593" s="155" t="str">
        <f aca="false">IF(D593="Warmwasser",G593-F593,"")</f>
        <v/>
      </c>
      <c r="J593" s="156" t="str">
        <f aca="false">IF(D593="ista",G593,"")</f>
        <v/>
      </c>
    </row>
    <row r="594" customFormat="false" ht="13.5" hidden="false" customHeight="false" outlineLevel="0" collapsed="false">
      <c r="A594" s="160"/>
      <c r="B594" s="160"/>
      <c r="C594" s="160"/>
      <c r="D594" s="160"/>
      <c r="E594" s="160"/>
      <c r="F594" s="161"/>
      <c r="G594" s="161"/>
      <c r="H594" s="155" t="str">
        <f aca="false">IF(D594="Kaltwasser",G594-F594,"")</f>
        <v/>
      </c>
      <c r="I594" s="155" t="str">
        <f aca="false">IF(D594="Warmwasser",G594-F594,"")</f>
        <v/>
      </c>
      <c r="J594" s="156" t="str">
        <f aca="false">IF(D594="ista",G594,"")</f>
        <v/>
      </c>
    </row>
    <row r="595" customFormat="false" ht="13.5" hidden="false" customHeight="false" outlineLevel="0" collapsed="false">
      <c r="A595" s="160"/>
      <c r="B595" s="160"/>
      <c r="C595" s="160"/>
      <c r="D595" s="160"/>
      <c r="E595" s="160"/>
      <c r="F595" s="161"/>
      <c r="G595" s="161"/>
      <c r="H595" s="155" t="str">
        <f aca="false">IF(D595="Kaltwasser",G595-F595,"")</f>
        <v/>
      </c>
      <c r="I595" s="155" t="str">
        <f aca="false">IF(D595="Warmwasser",G595-F595,"")</f>
        <v/>
      </c>
      <c r="J595" s="156" t="str">
        <f aca="false">IF(D595="ista",G595,"")</f>
        <v/>
      </c>
    </row>
    <row r="596" customFormat="false" ht="13.5" hidden="false" customHeight="false" outlineLevel="0" collapsed="false">
      <c r="A596" s="160"/>
      <c r="B596" s="160"/>
      <c r="C596" s="160"/>
      <c r="D596" s="160"/>
      <c r="E596" s="160"/>
      <c r="F596" s="161"/>
      <c r="G596" s="161"/>
      <c r="H596" s="155" t="str">
        <f aca="false">IF(D596="Kaltwasser",G596-F596,"")</f>
        <v/>
      </c>
      <c r="I596" s="155" t="str">
        <f aca="false">IF(D596="Warmwasser",G596-F596,"")</f>
        <v/>
      </c>
      <c r="J596" s="156" t="str">
        <f aca="false">IF(D596="ista",G596,"")</f>
        <v/>
      </c>
    </row>
    <row r="597" customFormat="false" ht="13.5" hidden="false" customHeight="false" outlineLevel="0" collapsed="false">
      <c r="A597" s="160"/>
      <c r="B597" s="160"/>
      <c r="C597" s="160"/>
      <c r="D597" s="160"/>
      <c r="E597" s="160"/>
      <c r="F597" s="161"/>
      <c r="G597" s="161"/>
      <c r="H597" s="155" t="str">
        <f aca="false">IF(D597="Kaltwasser",G597-F597,"")</f>
        <v/>
      </c>
      <c r="I597" s="155" t="str">
        <f aca="false">IF(D597="Warmwasser",G597-F597,"")</f>
        <v/>
      </c>
      <c r="J597" s="156" t="str">
        <f aca="false">IF(D597="ista",G597,"")</f>
        <v/>
      </c>
    </row>
    <row r="598" customFormat="false" ht="13.5" hidden="false" customHeight="false" outlineLevel="0" collapsed="false">
      <c r="A598" s="160"/>
      <c r="B598" s="160"/>
      <c r="C598" s="160"/>
      <c r="D598" s="160"/>
      <c r="E598" s="160"/>
      <c r="F598" s="161"/>
      <c r="G598" s="161"/>
      <c r="H598" s="155" t="str">
        <f aca="false">IF(D598="Kaltwasser",G598-F598,"")</f>
        <v/>
      </c>
      <c r="I598" s="155" t="str">
        <f aca="false">IF(D598="Warmwasser",G598-F598,"")</f>
        <v/>
      </c>
      <c r="J598" s="156" t="str">
        <f aca="false">IF(D598="ista",G598,"")</f>
        <v/>
      </c>
    </row>
    <row r="599" customFormat="false" ht="13.5" hidden="false" customHeight="false" outlineLevel="0" collapsed="false">
      <c r="A599" s="160"/>
      <c r="B599" s="160"/>
      <c r="C599" s="160"/>
      <c r="D599" s="160"/>
      <c r="E599" s="160"/>
      <c r="F599" s="161"/>
      <c r="G599" s="161"/>
      <c r="H599" s="155" t="str">
        <f aca="false">IF(D599="Kaltwasser",G599-F599,"")</f>
        <v/>
      </c>
      <c r="I599" s="155" t="str">
        <f aca="false">IF(D599="Warmwasser",G599-F599,"")</f>
        <v/>
      </c>
      <c r="J599" s="156" t="str">
        <f aca="false">IF(D599="ista",G599,"")</f>
        <v/>
      </c>
    </row>
    <row r="600" customFormat="false" ht="13.5" hidden="false" customHeight="false" outlineLevel="0" collapsed="false">
      <c r="A600" s="160"/>
      <c r="B600" s="160"/>
      <c r="C600" s="160"/>
      <c r="D600" s="160"/>
      <c r="E600" s="160"/>
      <c r="F600" s="161"/>
      <c r="G600" s="161"/>
      <c r="H600" s="155" t="str">
        <f aca="false">IF(D600="Kaltwasser",G600-F600,"")</f>
        <v/>
      </c>
      <c r="I600" s="155" t="str">
        <f aca="false">IF(D600="Warmwasser",G600-F600,"")</f>
        <v/>
      </c>
      <c r="J600" s="156" t="str">
        <f aca="false">IF(D600="ista",G600,"")</f>
        <v/>
      </c>
    </row>
    <row r="601" customFormat="false" ht="13.5" hidden="false" customHeight="false" outlineLevel="0" collapsed="false">
      <c r="A601" s="160"/>
      <c r="B601" s="160"/>
      <c r="C601" s="160"/>
      <c r="D601" s="160"/>
      <c r="E601" s="160"/>
      <c r="F601" s="161"/>
      <c r="G601" s="161"/>
      <c r="H601" s="155" t="str">
        <f aca="false">IF(D601="Kaltwasser",G601-F601,"")</f>
        <v/>
      </c>
      <c r="I601" s="155" t="str">
        <f aca="false">IF(D601="Warmwasser",G601-F601,"")</f>
        <v/>
      </c>
      <c r="J601" s="156" t="str">
        <f aca="false">IF(D601="ista",G601,"")</f>
        <v/>
      </c>
    </row>
    <row r="602" customFormat="false" ht="13.5" hidden="false" customHeight="false" outlineLevel="0" collapsed="false">
      <c r="A602" s="160"/>
      <c r="B602" s="160"/>
      <c r="C602" s="160"/>
      <c r="D602" s="160"/>
      <c r="E602" s="160"/>
      <c r="F602" s="161"/>
      <c r="G602" s="161"/>
      <c r="H602" s="155" t="str">
        <f aca="false">IF(D602="Kaltwasser",G602-F602,"")</f>
        <v/>
      </c>
      <c r="I602" s="155" t="str">
        <f aca="false">IF(D602="Warmwasser",G602-F602,"")</f>
        <v/>
      </c>
      <c r="J602" s="156" t="str">
        <f aca="false">IF(D602="ista",G602,"")</f>
        <v/>
      </c>
    </row>
    <row r="603" customFormat="false" ht="13.5" hidden="false" customHeight="false" outlineLevel="0" collapsed="false">
      <c r="A603" s="160"/>
      <c r="B603" s="160"/>
      <c r="C603" s="160"/>
      <c r="D603" s="160"/>
      <c r="E603" s="160"/>
      <c r="F603" s="161"/>
      <c r="G603" s="161"/>
      <c r="H603" s="155" t="str">
        <f aca="false">IF(D603="Kaltwasser",G603-F603,"")</f>
        <v/>
      </c>
      <c r="I603" s="155" t="str">
        <f aca="false">IF(D603="Warmwasser",G603-F603,"")</f>
        <v/>
      </c>
      <c r="J603" s="156" t="str">
        <f aca="false">IF(D603="ista",G603,"")</f>
        <v/>
      </c>
    </row>
    <row r="604" customFormat="false" ht="13.5" hidden="false" customHeight="false" outlineLevel="0" collapsed="false">
      <c r="A604" s="160"/>
      <c r="B604" s="160"/>
      <c r="C604" s="160"/>
      <c r="D604" s="160"/>
      <c r="E604" s="160"/>
      <c r="F604" s="161"/>
      <c r="G604" s="161"/>
      <c r="H604" s="155" t="str">
        <f aca="false">IF(D604="Kaltwasser",G604-F604,"")</f>
        <v/>
      </c>
      <c r="I604" s="155" t="str">
        <f aca="false">IF(D604="Warmwasser",G604-F604,"")</f>
        <v/>
      </c>
      <c r="J604" s="156" t="str">
        <f aca="false">IF(D604="ista",G604,"")</f>
        <v/>
      </c>
    </row>
    <row r="605" customFormat="false" ht="13.5" hidden="false" customHeight="false" outlineLevel="0" collapsed="false">
      <c r="A605" s="160"/>
      <c r="B605" s="160"/>
      <c r="C605" s="160"/>
      <c r="D605" s="160"/>
      <c r="E605" s="160"/>
      <c r="F605" s="161"/>
      <c r="G605" s="161"/>
      <c r="H605" s="155" t="str">
        <f aca="false">IF(D605="Kaltwasser",G605-F605,"")</f>
        <v/>
      </c>
      <c r="I605" s="155" t="str">
        <f aca="false">IF(D605="Warmwasser",G605-F605,"")</f>
        <v/>
      </c>
      <c r="J605" s="156" t="str">
        <f aca="false">IF(D605="ista",G605,"")</f>
        <v/>
      </c>
    </row>
    <row r="606" customFormat="false" ht="13.5" hidden="false" customHeight="false" outlineLevel="0" collapsed="false">
      <c r="A606" s="160"/>
      <c r="B606" s="160"/>
      <c r="C606" s="160"/>
      <c r="D606" s="160"/>
      <c r="E606" s="160"/>
      <c r="F606" s="161"/>
      <c r="G606" s="161"/>
      <c r="H606" s="155" t="str">
        <f aca="false">IF(D606="Kaltwasser",G606-F606,"")</f>
        <v/>
      </c>
      <c r="I606" s="155" t="str">
        <f aca="false">IF(D606="Warmwasser",G606-F606,"")</f>
        <v/>
      </c>
      <c r="J606" s="156" t="str">
        <f aca="false">IF(D606="ista",G606,"")</f>
        <v/>
      </c>
    </row>
    <row r="607" customFormat="false" ht="13.5" hidden="false" customHeight="false" outlineLevel="0" collapsed="false">
      <c r="A607" s="160"/>
      <c r="B607" s="160"/>
      <c r="C607" s="160"/>
      <c r="D607" s="160"/>
      <c r="E607" s="160"/>
      <c r="F607" s="161"/>
      <c r="G607" s="161"/>
      <c r="H607" s="155" t="str">
        <f aca="false">IF(D607="Kaltwasser",G607-F607,"")</f>
        <v/>
      </c>
      <c r="I607" s="155" t="str">
        <f aca="false">IF(D607="Warmwasser",G607-F607,"")</f>
        <v/>
      </c>
      <c r="J607" s="156" t="str">
        <f aca="false">IF(D607="ista",G607,"")</f>
        <v/>
      </c>
    </row>
    <row r="608" customFormat="false" ht="13.5" hidden="false" customHeight="false" outlineLevel="0" collapsed="false">
      <c r="A608" s="160"/>
      <c r="B608" s="160"/>
      <c r="C608" s="160"/>
      <c r="D608" s="160"/>
      <c r="E608" s="160"/>
      <c r="F608" s="161"/>
      <c r="G608" s="161"/>
      <c r="H608" s="155" t="str">
        <f aca="false">IF(D608="Kaltwasser",G608-F608,"")</f>
        <v/>
      </c>
      <c r="I608" s="155" t="str">
        <f aca="false">IF(D608="Warmwasser",G608-F608,"")</f>
        <v/>
      </c>
      <c r="J608" s="156" t="str">
        <f aca="false">IF(D608="ista",G608,"")</f>
        <v/>
      </c>
    </row>
    <row r="609" customFormat="false" ht="13.5" hidden="false" customHeight="false" outlineLevel="0" collapsed="false">
      <c r="A609" s="160"/>
      <c r="B609" s="160"/>
      <c r="C609" s="160"/>
      <c r="D609" s="160"/>
      <c r="E609" s="160"/>
      <c r="F609" s="161"/>
      <c r="G609" s="161"/>
      <c r="H609" s="155" t="str">
        <f aca="false">IF(D609="Kaltwasser",G609-F609,"")</f>
        <v/>
      </c>
      <c r="I609" s="155" t="str">
        <f aca="false">IF(D609="Warmwasser",G609-F609,"")</f>
        <v/>
      </c>
      <c r="J609" s="156" t="str">
        <f aca="false">IF(D609="ista",G609,"")</f>
        <v/>
      </c>
    </row>
    <row r="610" customFormat="false" ht="13.5" hidden="false" customHeight="false" outlineLevel="0" collapsed="false">
      <c r="A610" s="160"/>
      <c r="B610" s="160"/>
      <c r="C610" s="160"/>
      <c r="D610" s="160"/>
      <c r="E610" s="160"/>
      <c r="F610" s="161"/>
      <c r="G610" s="161"/>
      <c r="H610" s="155" t="str">
        <f aca="false">IF(D610="Kaltwasser",G610-F610,"")</f>
        <v/>
      </c>
      <c r="I610" s="155" t="str">
        <f aca="false">IF(D610="Warmwasser",G610-F610,"")</f>
        <v/>
      </c>
      <c r="J610" s="156" t="str">
        <f aca="false">IF(D610="ista",G610,"")</f>
        <v/>
      </c>
    </row>
    <row r="611" customFormat="false" ht="13.5" hidden="false" customHeight="false" outlineLevel="0" collapsed="false">
      <c r="A611" s="160"/>
      <c r="B611" s="160"/>
      <c r="C611" s="160"/>
      <c r="D611" s="160"/>
      <c r="E611" s="160"/>
      <c r="F611" s="161"/>
      <c r="G611" s="161"/>
      <c r="H611" s="155" t="str">
        <f aca="false">IF(D611="Kaltwasser",G611-F611,"")</f>
        <v/>
      </c>
      <c r="I611" s="155" t="str">
        <f aca="false">IF(D611="Warmwasser",G611-F611,"")</f>
        <v/>
      </c>
      <c r="J611" s="156" t="str">
        <f aca="false">IF(D611="ista",G611,"")</f>
        <v/>
      </c>
    </row>
    <row r="612" customFormat="false" ht="13.5" hidden="false" customHeight="false" outlineLevel="0" collapsed="false">
      <c r="A612" s="160"/>
      <c r="B612" s="160"/>
      <c r="C612" s="160"/>
      <c r="D612" s="160"/>
      <c r="E612" s="160"/>
      <c r="F612" s="161"/>
      <c r="G612" s="161"/>
      <c r="H612" s="155" t="str">
        <f aca="false">IF(D612="Kaltwasser",G612-F612,"")</f>
        <v/>
      </c>
      <c r="I612" s="155" t="str">
        <f aca="false">IF(D612="Warmwasser",G612-F612,"")</f>
        <v/>
      </c>
      <c r="J612" s="156" t="str">
        <f aca="false">IF(D612="ista",G612,"")</f>
        <v/>
      </c>
    </row>
    <row r="613" customFormat="false" ht="13.5" hidden="false" customHeight="false" outlineLevel="0" collapsed="false">
      <c r="A613" s="160"/>
      <c r="B613" s="160"/>
      <c r="C613" s="160"/>
      <c r="D613" s="160"/>
      <c r="E613" s="160"/>
      <c r="F613" s="161"/>
      <c r="G613" s="161"/>
      <c r="H613" s="155" t="str">
        <f aca="false">IF(D613="Kaltwasser",G613-F613,"")</f>
        <v/>
      </c>
      <c r="I613" s="155" t="str">
        <f aca="false">IF(D613="Warmwasser",G613-F613,"")</f>
        <v/>
      </c>
      <c r="J613" s="156" t="str">
        <f aca="false">IF(D613="ista",G613,"")</f>
        <v/>
      </c>
    </row>
    <row r="614" customFormat="false" ht="13.5" hidden="false" customHeight="false" outlineLevel="0" collapsed="false">
      <c r="A614" s="160"/>
      <c r="B614" s="160"/>
      <c r="C614" s="160"/>
      <c r="D614" s="160"/>
      <c r="E614" s="160"/>
      <c r="F614" s="161"/>
      <c r="G614" s="161"/>
      <c r="H614" s="155" t="str">
        <f aca="false">IF(D614="Kaltwasser",G614-F614,"")</f>
        <v/>
      </c>
      <c r="I614" s="155" t="str">
        <f aca="false">IF(D614="Warmwasser",G614-F614,"")</f>
        <v/>
      </c>
      <c r="J614" s="156" t="str">
        <f aca="false">IF(D614="ista",G614,"")</f>
        <v/>
      </c>
    </row>
    <row r="615" customFormat="false" ht="13.5" hidden="false" customHeight="false" outlineLevel="0" collapsed="false">
      <c r="A615" s="160"/>
      <c r="B615" s="160"/>
      <c r="C615" s="160"/>
      <c r="D615" s="160"/>
      <c r="E615" s="160"/>
      <c r="F615" s="161"/>
      <c r="G615" s="161"/>
      <c r="H615" s="155" t="str">
        <f aca="false">IF(D615="Kaltwasser",G615-F615,"")</f>
        <v/>
      </c>
      <c r="I615" s="155" t="str">
        <f aca="false">IF(D615="Warmwasser",G615-F615,"")</f>
        <v/>
      </c>
      <c r="J615" s="156" t="str">
        <f aca="false">IF(D615="ista",G615,"")</f>
        <v/>
      </c>
    </row>
    <row r="616" customFormat="false" ht="13.5" hidden="false" customHeight="false" outlineLevel="0" collapsed="false">
      <c r="A616" s="160"/>
      <c r="B616" s="160"/>
      <c r="C616" s="160"/>
      <c r="D616" s="160"/>
      <c r="E616" s="160"/>
      <c r="F616" s="161"/>
      <c r="G616" s="161"/>
      <c r="H616" s="155" t="str">
        <f aca="false">IF(D616="Kaltwasser",G616-F616,"")</f>
        <v/>
      </c>
      <c r="I616" s="155" t="str">
        <f aca="false">IF(D616="Warmwasser",G616-F616,"")</f>
        <v/>
      </c>
      <c r="J616" s="156" t="str">
        <f aca="false">IF(D616="ista",G616,"")</f>
        <v/>
      </c>
    </row>
    <row r="617" customFormat="false" ht="13.5" hidden="false" customHeight="false" outlineLevel="0" collapsed="false">
      <c r="A617" s="160"/>
      <c r="B617" s="160"/>
      <c r="C617" s="160"/>
      <c r="D617" s="160"/>
      <c r="E617" s="160"/>
      <c r="F617" s="161"/>
      <c r="G617" s="161"/>
      <c r="H617" s="155" t="str">
        <f aca="false">IF(D617="Kaltwasser",G617-F617,"")</f>
        <v/>
      </c>
      <c r="I617" s="155" t="str">
        <f aca="false">IF(D617="Warmwasser",G617-F617,"")</f>
        <v/>
      </c>
      <c r="J617" s="156" t="str">
        <f aca="false">IF(D617="ista",G617,"")</f>
        <v/>
      </c>
    </row>
    <row r="618" customFormat="false" ht="13.5" hidden="false" customHeight="false" outlineLevel="0" collapsed="false">
      <c r="A618" s="160"/>
      <c r="B618" s="160"/>
      <c r="C618" s="160"/>
      <c r="D618" s="160"/>
      <c r="E618" s="160"/>
      <c r="F618" s="161"/>
      <c r="G618" s="161"/>
      <c r="H618" s="155" t="str">
        <f aca="false">IF(D618="Kaltwasser",G618-F618,"")</f>
        <v/>
      </c>
      <c r="I618" s="155" t="str">
        <f aca="false">IF(D618="Warmwasser",G618-F618,"")</f>
        <v/>
      </c>
      <c r="J618" s="156" t="str">
        <f aca="false">IF(D618="ista",G618,"")</f>
        <v/>
      </c>
    </row>
    <row r="619" customFormat="false" ht="13.5" hidden="false" customHeight="false" outlineLevel="0" collapsed="false">
      <c r="A619" s="160"/>
      <c r="B619" s="160"/>
      <c r="C619" s="160"/>
      <c r="D619" s="160"/>
      <c r="E619" s="160"/>
      <c r="F619" s="161"/>
      <c r="G619" s="161"/>
      <c r="H619" s="155" t="str">
        <f aca="false">IF(D619="Kaltwasser",G619-F619,"")</f>
        <v/>
      </c>
      <c r="I619" s="155" t="str">
        <f aca="false">IF(D619="Warmwasser",G619-F619,"")</f>
        <v/>
      </c>
      <c r="J619" s="156" t="str">
        <f aca="false">IF(D619="ista",G619,"")</f>
        <v/>
      </c>
    </row>
    <row r="620" customFormat="false" ht="13.5" hidden="false" customHeight="false" outlineLevel="0" collapsed="false">
      <c r="A620" s="160"/>
      <c r="B620" s="160"/>
      <c r="C620" s="160"/>
      <c r="D620" s="160"/>
      <c r="E620" s="160"/>
      <c r="F620" s="161"/>
      <c r="G620" s="161"/>
      <c r="H620" s="155" t="str">
        <f aca="false">IF(D620="Kaltwasser",G620-F620,"")</f>
        <v/>
      </c>
      <c r="I620" s="155" t="str">
        <f aca="false">IF(D620="Warmwasser",G620-F620,"")</f>
        <v/>
      </c>
      <c r="J620" s="156" t="str">
        <f aca="false">IF(D620="ista",G620,"")</f>
        <v/>
      </c>
    </row>
    <row r="621" customFormat="false" ht="13.5" hidden="false" customHeight="false" outlineLevel="0" collapsed="false">
      <c r="A621" s="160"/>
      <c r="B621" s="160"/>
      <c r="C621" s="160"/>
      <c r="D621" s="160"/>
      <c r="E621" s="160"/>
      <c r="F621" s="161"/>
      <c r="G621" s="161"/>
      <c r="H621" s="155" t="str">
        <f aca="false">IF(D621="Kaltwasser",G621-F621,"")</f>
        <v/>
      </c>
      <c r="I621" s="155" t="str">
        <f aca="false">IF(D621="Warmwasser",G621-F621,"")</f>
        <v/>
      </c>
      <c r="J621" s="156" t="str">
        <f aca="false">IF(D621="ista",G621,"")</f>
        <v/>
      </c>
    </row>
    <row r="622" customFormat="false" ht="13.5" hidden="false" customHeight="false" outlineLevel="0" collapsed="false">
      <c r="A622" s="160"/>
      <c r="B622" s="160"/>
      <c r="C622" s="160"/>
      <c r="D622" s="160"/>
      <c r="E622" s="160"/>
      <c r="F622" s="161"/>
      <c r="G622" s="161"/>
      <c r="H622" s="155" t="str">
        <f aca="false">IF(D622="Kaltwasser",G622-F622,"")</f>
        <v/>
      </c>
      <c r="I622" s="155" t="str">
        <f aca="false">IF(D622="Warmwasser",G622-F622,"")</f>
        <v/>
      </c>
      <c r="J622" s="156" t="str">
        <f aca="false">IF(D622="ista",G622,"")</f>
        <v/>
      </c>
    </row>
    <row r="623" customFormat="false" ht="13.5" hidden="false" customHeight="false" outlineLevel="0" collapsed="false">
      <c r="A623" s="160"/>
      <c r="B623" s="160"/>
      <c r="C623" s="160"/>
      <c r="D623" s="160"/>
      <c r="E623" s="160"/>
      <c r="F623" s="161"/>
      <c r="G623" s="161"/>
      <c r="H623" s="155" t="str">
        <f aca="false">IF(D623="Kaltwasser",G623-F623,"")</f>
        <v/>
      </c>
      <c r="I623" s="155" t="str">
        <f aca="false">IF(D623="Warmwasser",G623-F623,"")</f>
        <v/>
      </c>
      <c r="J623" s="156" t="str">
        <f aca="false">IF(D623="ista",G623,"")</f>
        <v/>
      </c>
    </row>
    <row r="624" customFormat="false" ht="13.5" hidden="false" customHeight="false" outlineLevel="0" collapsed="false">
      <c r="A624" s="160"/>
      <c r="B624" s="160"/>
      <c r="C624" s="160"/>
      <c r="D624" s="160"/>
      <c r="E624" s="160"/>
      <c r="F624" s="161"/>
      <c r="G624" s="161"/>
      <c r="H624" s="155" t="str">
        <f aca="false">IF(D624="Kaltwasser",G624-F624,"")</f>
        <v/>
      </c>
      <c r="I624" s="155" t="str">
        <f aca="false">IF(D624="Warmwasser",G624-F624,"")</f>
        <v/>
      </c>
      <c r="J624" s="156" t="str">
        <f aca="false">IF(D624="ista",G624,"")</f>
        <v/>
      </c>
    </row>
    <row r="625" customFormat="false" ht="13.5" hidden="false" customHeight="false" outlineLevel="0" collapsed="false">
      <c r="A625" s="160"/>
      <c r="B625" s="160"/>
      <c r="C625" s="160"/>
      <c r="D625" s="160"/>
      <c r="E625" s="160"/>
      <c r="F625" s="161"/>
      <c r="G625" s="161"/>
      <c r="H625" s="155" t="str">
        <f aca="false">IF(D625="Kaltwasser",G625-F625,"")</f>
        <v/>
      </c>
      <c r="I625" s="155" t="str">
        <f aca="false">IF(D625="Warmwasser",G625-F625,"")</f>
        <v/>
      </c>
      <c r="J625" s="156" t="str">
        <f aca="false">IF(D625="ista",G625,"")</f>
        <v/>
      </c>
    </row>
    <row r="626" customFormat="false" ht="13.5" hidden="false" customHeight="false" outlineLevel="0" collapsed="false">
      <c r="A626" s="160"/>
      <c r="B626" s="160"/>
      <c r="C626" s="160"/>
      <c r="D626" s="160"/>
      <c r="E626" s="160"/>
      <c r="F626" s="161"/>
      <c r="G626" s="161"/>
      <c r="H626" s="155" t="str">
        <f aca="false">IF(D626="Kaltwasser",G626-F626,"")</f>
        <v/>
      </c>
      <c r="I626" s="155" t="str">
        <f aca="false">IF(D626="Warmwasser",G626-F626,"")</f>
        <v/>
      </c>
      <c r="J626" s="156" t="str">
        <f aca="false">IF(D626="ista",G626,"")</f>
        <v/>
      </c>
    </row>
    <row r="627" customFormat="false" ht="13.5" hidden="false" customHeight="false" outlineLevel="0" collapsed="false">
      <c r="A627" s="160"/>
      <c r="B627" s="160"/>
      <c r="C627" s="160"/>
      <c r="D627" s="160"/>
      <c r="E627" s="160"/>
      <c r="F627" s="161"/>
      <c r="G627" s="161"/>
      <c r="H627" s="155" t="str">
        <f aca="false">IF(D627="Kaltwasser",G627-F627,"")</f>
        <v/>
      </c>
      <c r="I627" s="155" t="str">
        <f aca="false">IF(D627="Warmwasser",G627-F627,"")</f>
        <v/>
      </c>
      <c r="J627" s="156" t="str">
        <f aca="false">IF(D627="ista",G627,"")</f>
        <v/>
      </c>
    </row>
    <row r="628" customFormat="false" ht="13.5" hidden="false" customHeight="false" outlineLevel="0" collapsed="false">
      <c r="A628" s="160"/>
      <c r="B628" s="160"/>
      <c r="C628" s="160"/>
      <c r="D628" s="160"/>
      <c r="E628" s="160"/>
      <c r="F628" s="161"/>
      <c r="G628" s="161"/>
      <c r="H628" s="155" t="str">
        <f aca="false">IF(D628="Kaltwasser",G628-F628,"")</f>
        <v/>
      </c>
      <c r="I628" s="155" t="str">
        <f aca="false">IF(D628="Warmwasser",G628-F628,"")</f>
        <v/>
      </c>
      <c r="J628" s="156" t="str">
        <f aca="false">IF(D628="ista",G628,"")</f>
        <v/>
      </c>
    </row>
    <row r="629" customFormat="false" ht="13.5" hidden="false" customHeight="false" outlineLevel="0" collapsed="false">
      <c r="A629" s="160"/>
      <c r="B629" s="160"/>
      <c r="C629" s="160"/>
      <c r="D629" s="160"/>
      <c r="E629" s="160"/>
      <c r="F629" s="161"/>
      <c r="G629" s="161"/>
      <c r="H629" s="155" t="str">
        <f aca="false">IF(D629="Kaltwasser",G629-F629,"")</f>
        <v/>
      </c>
      <c r="I629" s="155" t="str">
        <f aca="false">IF(D629="Warmwasser",G629-F629,"")</f>
        <v/>
      </c>
      <c r="J629" s="156" t="str">
        <f aca="false">IF(D629="ista",G629,"")</f>
        <v/>
      </c>
    </row>
    <row r="630" customFormat="false" ht="13.5" hidden="false" customHeight="false" outlineLevel="0" collapsed="false">
      <c r="A630" s="160"/>
      <c r="B630" s="160"/>
      <c r="C630" s="160"/>
      <c r="D630" s="160"/>
      <c r="E630" s="160"/>
      <c r="F630" s="161"/>
      <c r="G630" s="161"/>
      <c r="H630" s="155" t="str">
        <f aca="false">IF(D630="Kaltwasser",G630-F630,"")</f>
        <v/>
      </c>
      <c r="I630" s="155" t="str">
        <f aca="false">IF(D630="Warmwasser",G630-F630,"")</f>
        <v/>
      </c>
      <c r="J630" s="156" t="str">
        <f aca="false">IF(D630="ista",G630,"")</f>
        <v/>
      </c>
    </row>
    <row r="631" customFormat="false" ht="13.5" hidden="false" customHeight="false" outlineLevel="0" collapsed="false">
      <c r="A631" s="160"/>
      <c r="B631" s="160"/>
      <c r="C631" s="160"/>
      <c r="D631" s="160"/>
      <c r="E631" s="160"/>
      <c r="F631" s="161"/>
      <c r="G631" s="161"/>
      <c r="H631" s="155" t="str">
        <f aca="false">IF(D631="Kaltwasser",G631-F631,"")</f>
        <v/>
      </c>
      <c r="I631" s="155" t="str">
        <f aca="false">IF(D631="Warmwasser",G631-F631,"")</f>
        <v/>
      </c>
      <c r="J631" s="156" t="str">
        <f aca="false">IF(D631="ista",G631,"")</f>
        <v/>
      </c>
    </row>
    <row r="632" customFormat="false" ht="13.5" hidden="false" customHeight="false" outlineLevel="0" collapsed="false">
      <c r="A632" s="160"/>
      <c r="B632" s="160"/>
      <c r="C632" s="160"/>
      <c r="D632" s="160"/>
      <c r="E632" s="160"/>
      <c r="F632" s="161"/>
      <c r="G632" s="161"/>
      <c r="H632" s="155" t="str">
        <f aca="false">IF(D632="Kaltwasser",G632-F632,"")</f>
        <v/>
      </c>
      <c r="I632" s="155" t="str">
        <f aca="false">IF(D632="Warmwasser",G632-F632,"")</f>
        <v/>
      </c>
      <c r="J632" s="156" t="str">
        <f aca="false">IF(D632="ista",G632,"")</f>
        <v/>
      </c>
    </row>
    <row r="633" customFormat="false" ht="13.5" hidden="false" customHeight="false" outlineLevel="0" collapsed="false">
      <c r="A633" s="160"/>
      <c r="B633" s="160"/>
      <c r="C633" s="160"/>
      <c r="D633" s="160"/>
      <c r="E633" s="160"/>
      <c r="F633" s="161"/>
      <c r="G633" s="161"/>
      <c r="H633" s="155" t="str">
        <f aca="false">IF(D633="Kaltwasser",G633-F633,"")</f>
        <v/>
      </c>
      <c r="I633" s="155" t="str">
        <f aca="false">IF(D633="Warmwasser",G633-F633,"")</f>
        <v/>
      </c>
      <c r="J633" s="156" t="str">
        <f aca="false">IF(D633="ista",G633,"")</f>
        <v/>
      </c>
    </row>
    <row r="634" customFormat="false" ht="13.5" hidden="false" customHeight="false" outlineLevel="0" collapsed="false">
      <c r="A634" s="160"/>
      <c r="B634" s="160"/>
      <c r="C634" s="160"/>
      <c r="D634" s="160"/>
      <c r="E634" s="160"/>
      <c r="F634" s="161"/>
      <c r="G634" s="161"/>
      <c r="H634" s="155" t="str">
        <f aca="false">IF(D634="Kaltwasser",G634-F634,"")</f>
        <v/>
      </c>
      <c r="I634" s="155" t="str">
        <f aca="false">IF(D634="Warmwasser",G634-F634,"")</f>
        <v/>
      </c>
      <c r="J634" s="156" t="str">
        <f aca="false">IF(D634="ista",G634,"")</f>
        <v/>
      </c>
    </row>
    <row r="635" customFormat="false" ht="13.5" hidden="false" customHeight="false" outlineLevel="0" collapsed="false">
      <c r="A635" s="160"/>
      <c r="B635" s="160"/>
      <c r="C635" s="160"/>
      <c r="D635" s="160"/>
      <c r="E635" s="160"/>
      <c r="F635" s="161"/>
      <c r="G635" s="161"/>
      <c r="H635" s="155" t="str">
        <f aca="false">IF(D635="Kaltwasser",G635-F635,"")</f>
        <v/>
      </c>
      <c r="I635" s="155" t="str">
        <f aca="false">IF(D635="Warmwasser",G635-F635,"")</f>
        <v/>
      </c>
      <c r="J635" s="156" t="str">
        <f aca="false">IF(D635="ista",G635,"")</f>
        <v/>
      </c>
    </row>
    <row r="636" customFormat="false" ht="13.5" hidden="false" customHeight="false" outlineLevel="0" collapsed="false">
      <c r="A636" s="160"/>
      <c r="B636" s="160"/>
      <c r="C636" s="160"/>
      <c r="D636" s="160"/>
      <c r="E636" s="160"/>
      <c r="F636" s="161"/>
      <c r="G636" s="161"/>
      <c r="H636" s="155" t="str">
        <f aca="false">IF(D636="Kaltwasser",G636-F636,"")</f>
        <v/>
      </c>
      <c r="I636" s="155" t="str">
        <f aca="false">IF(D636="Warmwasser",G636-F636,"")</f>
        <v/>
      </c>
      <c r="J636" s="156" t="str">
        <f aca="false">IF(D636="ista",G636,"")</f>
        <v/>
      </c>
    </row>
    <row r="637" customFormat="false" ht="13.5" hidden="false" customHeight="false" outlineLevel="0" collapsed="false">
      <c r="A637" s="160"/>
      <c r="B637" s="160"/>
      <c r="C637" s="160"/>
      <c r="D637" s="160"/>
      <c r="E637" s="160"/>
      <c r="F637" s="161"/>
      <c r="G637" s="161"/>
      <c r="H637" s="155" t="str">
        <f aca="false">IF(D637="Kaltwasser",G637-F637,"")</f>
        <v/>
      </c>
      <c r="I637" s="155" t="str">
        <f aca="false">IF(D637="Warmwasser",G637-F637,"")</f>
        <v/>
      </c>
      <c r="J637" s="156" t="str">
        <f aca="false">IF(D637="ista",G637,"")</f>
        <v/>
      </c>
    </row>
    <row r="638" customFormat="false" ht="13.5" hidden="false" customHeight="false" outlineLevel="0" collapsed="false">
      <c r="A638" s="160"/>
      <c r="B638" s="160"/>
      <c r="C638" s="160"/>
      <c r="D638" s="160"/>
      <c r="E638" s="160"/>
      <c r="F638" s="161"/>
      <c r="G638" s="161"/>
      <c r="H638" s="155" t="str">
        <f aca="false">IF(D638="Kaltwasser",G638-F638,"")</f>
        <v/>
      </c>
      <c r="I638" s="155" t="str">
        <f aca="false">IF(D638="Warmwasser",G638-F638,"")</f>
        <v/>
      </c>
      <c r="J638" s="156" t="str">
        <f aca="false">IF(D638="ista",G638,"")</f>
        <v/>
      </c>
    </row>
    <row r="639" customFormat="false" ht="13.5" hidden="false" customHeight="false" outlineLevel="0" collapsed="false">
      <c r="A639" s="160"/>
      <c r="B639" s="160"/>
      <c r="C639" s="160"/>
      <c r="D639" s="160"/>
      <c r="E639" s="160"/>
      <c r="F639" s="161"/>
      <c r="G639" s="161"/>
      <c r="H639" s="155" t="str">
        <f aca="false">IF(D639="Kaltwasser",G639-F639,"")</f>
        <v/>
      </c>
      <c r="I639" s="155" t="str">
        <f aca="false">IF(D639="Warmwasser",G639-F639,"")</f>
        <v/>
      </c>
      <c r="J639" s="156" t="str">
        <f aca="false">IF(D639="ista",G639,"")</f>
        <v/>
      </c>
    </row>
    <row r="640" customFormat="false" ht="13.5" hidden="false" customHeight="false" outlineLevel="0" collapsed="false">
      <c r="A640" s="160"/>
      <c r="B640" s="160"/>
      <c r="C640" s="160"/>
      <c r="D640" s="160"/>
      <c r="E640" s="160"/>
      <c r="F640" s="161"/>
      <c r="G640" s="161"/>
      <c r="H640" s="155" t="str">
        <f aca="false">IF(D640="Kaltwasser",G640-F640,"")</f>
        <v/>
      </c>
      <c r="I640" s="155" t="str">
        <f aca="false">IF(D640="Warmwasser",G640-F640,"")</f>
        <v/>
      </c>
      <c r="J640" s="156" t="str">
        <f aca="false">IF(D640="ista",G640,"")</f>
        <v/>
      </c>
    </row>
    <row r="641" customFormat="false" ht="13.5" hidden="false" customHeight="false" outlineLevel="0" collapsed="false">
      <c r="A641" s="160"/>
      <c r="B641" s="160"/>
      <c r="C641" s="160"/>
      <c r="D641" s="160"/>
      <c r="E641" s="160"/>
      <c r="F641" s="161"/>
      <c r="G641" s="161"/>
      <c r="H641" s="155" t="str">
        <f aca="false">IF(D641="Kaltwasser",G641-F641,"")</f>
        <v/>
      </c>
      <c r="I641" s="155" t="str">
        <f aca="false">IF(D641="Warmwasser",G641-F641,"")</f>
        <v/>
      </c>
      <c r="J641" s="156" t="str">
        <f aca="false">IF(D641="ista",G641,"")</f>
        <v/>
      </c>
    </row>
    <row r="642" customFormat="false" ht="13.5" hidden="false" customHeight="false" outlineLevel="0" collapsed="false">
      <c r="A642" s="160"/>
      <c r="B642" s="160"/>
      <c r="C642" s="160"/>
      <c r="D642" s="160"/>
      <c r="E642" s="160"/>
      <c r="F642" s="161"/>
      <c r="G642" s="161"/>
      <c r="H642" s="155" t="str">
        <f aca="false">IF(D642="Kaltwasser",G642-F642,"")</f>
        <v/>
      </c>
      <c r="I642" s="155" t="str">
        <f aca="false">IF(D642="Warmwasser",G642-F642,"")</f>
        <v/>
      </c>
      <c r="J642" s="156" t="str">
        <f aca="false">IF(D642="ista",G642,"")</f>
        <v/>
      </c>
    </row>
    <row r="643" customFormat="false" ht="13.5" hidden="false" customHeight="false" outlineLevel="0" collapsed="false">
      <c r="A643" s="160"/>
      <c r="B643" s="160"/>
      <c r="C643" s="160"/>
      <c r="D643" s="160"/>
      <c r="E643" s="160"/>
      <c r="F643" s="161"/>
      <c r="G643" s="161"/>
      <c r="H643" s="155" t="str">
        <f aca="false">IF(D643="Kaltwasser",G643-F643,"")</f>
        <v/>
      </c>
      <c r="I643" s="155" t="str">
        <f aca="false">IF(D643="Warmwasser",G643-F643,"")</f>
        <v/>
      </c>
      <c r="J643" s="156" t="str">
        <f aca="false">IF(D643="ista",G643,"")</f>
        <v/>
      </c>
    </row>
    <row r="644" customFormat="false" ht="13.5" hidden="false" customHeight="false" outlineLevel="0" collapsed="false">
      <c r="A644" s="160"/>
      <c r="B644" s="160"/>
      <c r="C644" s="160"/>
      <c r="D644" s="160"/>
      <c r="E644" s="160"/>
      <c r="F644" s="161"/>
      <c r="G644" s="161"/>
      <c r="H644" s="155" t="str">
        <f aca="false">IF(D644="Kaltwasser",G644-F644,"")</f>
        <v/>
      </c>
      <c r="I644" s="155" t="str">
        <f aca="false">IF(D644="Warmwasser",G644-F644,"")</f>
        <v/>
      </c>
      <c r="J644" s="156" t="str">
        <f aca="false">IF(D644="ista",G644,"")</f>
        <v/>
      </c>
    </row>
    <row r="645" customFormat="false" ht="13.5" hidden="false" customHeight="false" outlineLevel="0" collapsed="false">
      <c r="A645" s="160"/>
      <c r="B645" s="160"/>
      <c r="C645" s="160"/>
      <c r="D645" s="160"/>
      <c r="E645" s="160"/>
      <c r="F645" s="161"/>
      <c r="G645" s="161"/>
      <c r="H645" s="155" t="str">
        <f aca="false">IF(D645="Kaltwasser",G645-F645,"")</f>
        <v/>
      </c>
      <c r="I645" s="155" t="str">
        <f aca="false">IF(D645="Warmwasser",G645-F645,"")</f>
        <v/>
      </c>
      <c r="J645" s="156" t="str">
        <f aca="false">IF(D645="ista",G645,"")</f>
        <v/>
      </c>
    </row>
    <row r="646" customFormat="false" ht="13.5" hidden="false" customHeight="false" outlineLevel="0" collapsed="false">
      <c r="A646" s="160"/>
      <c r="B646" s="160"/>
      <c r="C646" s="160"/>
      <c r="D646" s="160"/>
      <c r="E646" s="160"/>
      <c r="F646" s="161"/>
      <c r="G646" s="161"/>
      <c r="H646" s="155" t="str">
        <f aca="false">IF(D646="Kaltwasser",G646-F646,"")</f>
        <v/>
      </c>
      <c r="I646" s="155" t="str">
        <f aca="false">IF(D646="Warmwasser",G646-F646,"")</f>
        <v/>
      </c>
      <c r="J646" s="156" t="str">
        <f aca="false">IF(D646="ista",G646,"")</f>
        <v/>
      </c>
    </row>
    <row r="647" customFormat="false" ht="13.5" hidden="false" customHeight="false" outlineLevel="0" collapsed="false">
      <c r="A647" s="160"/>
      <c r="B647" s="160"/>
      <c r="C647" s="160"/>
      <c r="D647" s="160"/>
      <c r="E647" s="160"/>
      <c r="F647" s="161"/>
      <c r="G647" s="161"/>
      <c r="H647" s="155" t="str">
        <f aca="false">IF(D647="Kaltwasser",G647-F647,"")</f>
        <v/>
      </c>
      <c r="I647" s="155" t="str">
        <f aca="false">IF(D647="Warmwasser",G647-F647,"")</f>
        <v/>
      </c>
      <c r="J647" s="156" t="str">
        <f aca="false">IF(D647="ista",G647,"")</f>
        <v/>
      </c>
    </row>
    <row r="648" customFormat="false" ht="13.5" hidden="false" customHeight="false" outlineLevel="0" collapsed="false">
      <c r="A648" s="160"/>
      <c r="B648" s="160"/>
      <c r="C648" s="160"/>
      <c r="D648" s="160"/>
      <c r="E648" s="160"/>
      <c r="F648" s="161"/>
      <c r="G648" s="161"/>
      <c r="H648" s="155" t="str">
        <f aca="false">IF(D648="Kaltwasser",G648-F648,"")</f>
        <v/>
      </c>
      <c r="I648" s="155" t="str">
        <f aca="false">IF(D648="Warmwasser",G648-F648,"")</f>
        <v/>
      </c>
      <c r="J648" s="156" t="str">
        <f aca="false">IF(D648="ista",G648,"")</f>
        <v/>
      </c>
    </row>
    <row r="649" customFormat="false" ht="13.5" hidden="false" customHeight="false" outlineLevel="0" collapsed="false">
      <c r="A649" s="160"/>
      <c r="B649" s="160"/>
      <c r="C649" s="160"/>
      <c r="D649" s="160"/>
      <c r="E649" s="160"/>
      <c r="F649" s="161"/>
      <c r="G649" s="161"/>
      <c r="H649" s="155" t="str">
        <f aca="false">IF(D649="Kaltwasser",G649-F649,"")</f>
        <v/>
      </c>
      <c r="I649" s="155" t="str">
        <f aca="false">IF(D649="Warmwasser",G649-F649,"")</f>
        <v/>
      </c>
      <c r="J649" s="156" t="str">
        <f aca="false">IF(D649="ista",G649,"")</f>
        <v/>
      </c>
    </row>
    <row r="650" customFormat="false" ht="13.5" hidden="false" customHeight="false" outlineLevel="0" collapsed="false">
      <c r="A650" s="160"/>
      <c r="B650" s="160"/>
      <c r="C650" s="160"/>
      <c r="D650" s="160"/>
      <c r="E650" s="160"/>
      <c r="F650" s="161"/>
      <c r="G650" s="161"/>
      <c r="H650" s="155" t="str">
        <f aca="false">IF(D650="Kaltwasser",G650-F650,"")</f>
        <v/>
      </c>
      <c r="I650" s="155" t="str">
        <f aca="false">IF(D650="Warmwasser",G650-F650,"")</f>
        <v/>
      </c>
      <c r="J650" s="156" t="str">
        <f aca="false">IF(D650="ista",G650,"")</f>
        <v/>
      </c>
    </row>
    <row r="651" customFormat="false" ht="13.5" hidden="false" customHeight="false" outlineLevel="0" collapsed="false">
      <c r="A651" s="160"/>
      <c r="B651" s="160"/>
      <c r="C651" s="160"/>
      <c r="D651" s="160"/>
      <c r="E651" s="160"/>
      <c r="F651" s="161"/>
      <c r="G651" s="161"/>
      <c r="H651" s="155" t="str">
        <f aca="false">IF(D651="Kaltwasser",G651-F651,"")</f>
        <v/>
      </c>
      <c r="I651" s="155" t="str">
        <f aca="false">IF(D651="Warmwasser",G651-F651,"")</f>
        <v/>
      </c>
      <c r="J651" s="156" t="str">
        <f aca="false">IF(D651="ista",G651,"")</f>
        <v/>
      </c>
    </row>
    <row r="652" customFormat="false" ht="13.5" hidden="false" customHeight="false" outlineLevel="0" collapsed="false">
      <c r="A652" s="160"/>
      <c r="B652" s="160"/>
      <c r="C652" s="160"/>
      <c r="D652" s="160"/>
      <c r="E652" s="160"/>
      <c r="F652" s="161"/>
      <c r="G652" s="161"/>
      <c r="H652" s="155" t="str">
        <f aca="false">IF(D652="Kaltwasser",G652-F652,"")</f>
        <v/>
      </c>
      <c r="I652" s="155" t="str">
        <f aca="false">IF(D652="Warmwasser",G652-F652,"")</f>
        <v/>
      </c>
      <c r="J652" s="156" t="str">
        <f aca="false">IF(D652="ista",G652,"")</f>
        <v/>
      </c>
    </row>
    <row r="653" customFormat="false" ht="13.5" hidden="false" customHeight="false" outlineLevel="0" collapsed="false">
      <c r="A653" s="160"/>
      <c r="B653" s="160"/>
      <c r="C653" s="160"/>
      <c r="D653" s="160"/>
      <c r="E653" s="160"/>
      <c r="F653" s="161"/>
      <c r="G653" s="161"/>
      <c r="H653" s="155" t="str">
        <f aca="false">IF(D653="Kaltwasser",G653-F653,"")</f>
        <v/>
      </c>
      <c r="I653" s="155" t="str">
        <f aca="false">IF(D653="Warmwasser",G653-F653,"")</f>
        <v/>
      </c>
      <c r="J653" s="156" t="str">
        <f aca="false">IF(D653="ista",G653,"")</f>
        <v/>
      </c>
    </row>
    <row r="654" customFormat="false" ht="13.5" hidden="false" customHeight="false" outlineLevel="0" collapsed="false">
      <c r="A654" s="160"/>
      <c r="B654" s="160"/>
      <c r="C654" s="160"/>
      <c r="D654" s="160"/>
      <c r="E654" s="160"/>
      <c r="F654" s="161"/>
      <c r="G654" s="161"/>
      <c r="H654" s="155" t="str">
        <f aca="false">IF(D654="Kaltwasser",G654-F654,"")</f>
        <v/>
      </c>
      <c r="I654" s="155" t="str">
        <f aca="false">IF(D654="Warmwasser",G654-F654,"")</f>
        <v/>
      </c>
      <c r="J654" s="156" t="str">
        <f aca="false">IF(D654="ista",G654,"")</f>
        <v/>
      </c>
    </row>
    <row r="655" customFormat="false" ht="13.5" hidden="false" customHeight="false" outlineLevel="0" collapsed="false">
      <c r="A655" s="160"/>
      <c r="B655" s="160"/>
      <c r="C655" s="160"/>
      <c r="D655" s="160"/>
      <c r="E655" s="160"/>
      <c r="F655" s="161"/>
      <c r="G655" s="161"/>
      <c r="H655" s="155" t="str">
        <f aca="false">IF(D655="Kaltwasser",G655-F655,"")</f>
        <v/>
      </c>
      <c r="I655" s="155" t="str">
        <f aca="false">IF(D655="Warmwasser",G655-F655,"")</f>
        <v/>
      </c>
      <c r="J655" s="156" t="str">
        <f aca="false">IF(D655="ista",G655,"")</f>
        <v/>
      </c>
    </row>
    <row r="656" customFormat="false" ht="13.5" hidden="false" customHeight="false" outlineLevel="0" collapsed="false">
      <c r="A656" s="160"/>
      <c r="B656" s="160"/>
      <c r="C656" s="160"/>
      <c r="D656" s="160"/>
      <c r="E656" s="160"/>
      <c r="F656" s="161"/>
      <c r="G656" s="161"/>
      <c r="H656" s="155" t="str">
        <f aca="false">IF(D656="Kaltwasser",G656-F656,"")</f>
        <v/>
      </c>
      <c r="I656" s="155" t="str">
        <f aca="false">IF(D656="Warmwasser",G656-F656,"")</f>
        <v/>
      </c>
      <c r="J656" s="156" t="str">
        <f aca="false">IF(D656="ista",G656,"")</f>
        <v/>
      </c>
    </row>
    <row r="657" customFormat="false" ht="13.5" hidden="false" customHeight="false" outlineLevel="0" collapsed="false">
      <c r="A657" s="160"/>
      <c r="B657" s="160"/>
      <c r="C657" s="160"/>
      <c r="D657" s="160"/>
      <c r="E657" s="160"/>
      <c r="F657" s="161"/>
      <c r="G657" s="161"/>
      <c r="H657" s="155" t="str">
        <f aca="false">IF(D657="Kaltwasser",G657-F657,"")</f>
        <v/>
      </c>
      <c r="I657" s="155" t="str">
        <f aca="false">IF(D657="Warmwasser",G657-F657,"")</f>
        <v/>
      </c>
      <c r="J657" s="156" t="str">
        <f aca="false">IF(D657="ista",G657,"")</f>
        <v/>
      </c>
    </row>
    <row r="658" customFormat="false" ht="13.5" hidden="false" customHeight="false" outlineLevel="0" collapsed="false">
      <c r="A658" s="160"/>
      <c r="B658" s="160"/>
      <c r="C658" s="160"/>
      <c r="D658" s="160"/>
      <c r="E658" s="160"/>
      <c r="F658" s="161"/>
      <c r="G658" s="161"/>
      <c r="H658" s="155" t="str">
        <f aca="false">IF(D658="Kaltwasser",G658-F658,"")</f>
        <v/>
      </c>
      <c r="I658" s="155" t="str">
        <f aca="false">IF(D658="Warmwasser",G658-F658,"")</f>
        <v/>
      </c>
      <c r="J658" s="156" t="str">
        <f aca="false">IF(D658="ista",G658,"")</f>
        <v/>
      </c>
    </row>
    <row r="659" customFormat="false" ht="13.5" hidden="false" customHeight="false" outlineLevel="0" collapsed="false">
      <c r="A659" s="160"/>
      <c r="B659" s="160"/>
      <c r="C659" s="160"/>
      <c r="D659" s="160"/>
      <c r="E659" s="160"/>
      <c r="F659" s="161"/>
      <c r="G659" s="161"/>
      <c r="H659" s="155" t="str">
        <f aca="false">IF(D659="Kaltwasser",G659-F659,"")</f>
        <v/>
      </c>
      <c r="I659" s="155" t="str">
        <f aca="false">IF(D659="Warmwasser",G659-F659,"")</f>
        <v/>
      </c>
      <c r="J659" s="156" t="str">
        <f aca="false">IF(D659="ista",G659,"")</f>
        <v/>
      </c>
    </row>
    <row r="660" customFormat="false" ht="13.5" hidden="false" customHeight="false" outlineLevel="0" collapsed="false">
      <c r="A660" s="160"/>
      <c r="B660" s="160"/>
      <c r="C660" s="160"/>
      <c r="D660" s="160"/>
      <c r="E660" s="160"/>
      <c r="F660" s="161"/>
      <c r="G660" s="161"/>
      <c r="H660" s="155" t="str">
        <f aca="false">IF(D660="Kaltwasser",G660-F660,"")</f>
        <v/>
      </c>
      <c r="I660" s="155" t="str">
        <f aca="false">IF(D660="Warmwasser",G660-F660,"")</f>
        <v/>
      </c>
      <c r="J660" s="156" t="str">
        <f aca="false">IF(D660="ista",G660,"")</f>
        <v/>
      </c>
    </row>
    <row r="661" customFormat="false" ht="13.5" hidden="false" customHeight="false" outlineLevel="0" collapsed="false">
      <c r="A661" s="160"/>
      <c r="B661" s="160"/>
      <c r="C661" s="160"/>
      <c r="D661" s="160"/>
      <c r="E661" s="160"/>
      <c r="F661" s="161"/>
      <c r="G661" s="161"/>
      <c r="H661" s="155" t="str">
        <f aca="false">IF(D661="Kaltwasser",G661-F661,"")</f>
        <v/>
      </c>
      <c r="I661" s="155" t="str">
        <f aca="false">IF(D661="Warmwasser",G661-F661,"")</f>
        <v/>
      </c>
      <c r="J661" s="156" t="str">
        <f aca="false">IF(D661="ista",G661,"")</f>
        <v/>
      </c>
    </row>
    <row r="662" customFormat="false" ht="13.5" hidden="false" customHeight="false" outlineLevel="0" collapsed="false">
      <c r="A662" s="160"/>
      <c r="B662" s="160"/>
      <c r="C662" s="160"/>
      <c r="D662" s="160"/>
      <c r="E662" s="160"/>
      <c r="F662" s="161"/>
      <c r="G662" s="161"/>
      <c r="H662" s="155" t="str">
        <f aca="false">IF(D662="Kaltwasser",G662-F662,"")</f>
        <v/>
      </c>
      <c r="I662" s="155" t="str">
        <f aca="false">IF(D662="Warmwasser",G662-F662,"")</f>
        <v/>
      </c>
      <c r="J662" s="156" t="str">
        <f aca="false">IF(D662="ista",G662,"")</f>
        <v/>
      </c>
    </row>
    <row r="663" customFormat="false" ht="13.5" hidden="false" customHeight="false" outlineLevel="0" collapsed="false">
      <c r="A663" s="160"/>
      <c r="B663" s="160"/>
      <c r="C663" s="160"/>
      <c r="D663" s="160"/>
      <c r="E663" s="160"/>
      <c r="F663" s="161"/>
      <c r="G663" s="161"/>
      <c r="H663" s="155" t="str">
        <f aca="false">IF(D663="Kaltwasser",G663-F663,"")</f>
        <v/>
      </c>
      <c r="I663" s="155" t="str">
        <f aca="false">IF(D663="Warmwasser",G663-F663,"")</f>
        <v/>
      </c>
      <c r="J663" s="156" t="str">
        <f aca="false">IF(D663="ista",G663,"")</f>
        <v/>
      </c>
    </row>
    <row r="664" customFormat="false" ht="13.5" hidden="false" customHeight="false" outlineLevel="0" collapsed="false">
      <c r="A664" s="160"/>
      <c r="B664" s="160"/>
      <c r="C664" s="160"/>
      <c r="D664" s="160"/>
      <c r="E664" s="160"/>
      <c r="F664" s="161"/>
      <c r="G664" s="161"/>
      <c r="H664" s="155" t="str">
        <f aca="false">IF(D664="Kaltwasser",G664-F664,"")</f>
        <v/>
      </c>
      <c r="I664" s="155" t="str">
        <f aca="false">IF(D664="Warmwasser",G664-F664,"")</f>
        <v/>
      </c>
      <c r="J664" s="156" t="str">
        <f aca="false">IF(D664="ista",G664,"")</f>
        <v/>
      </c>
    </row>
    <row r="665" customFormat="false" ht="13.5" hidden="false" customHeight="false" outlineLevel="0" collapsed="false">
      <c r="A665" s="160"/>
      <c r="B665" s="160"/>
      <c r="C665" s="160"/>
      <c r="D665" s="160"/>
      <c r="E665" s="160"/>
      <c r="F665" s="161"/>
      <c r="G665" s="161"/>
      <c r="H665" s="155" t="str">
        <f aca="false">IF(D665="Kaltwasser",G665-F665,"")</f>
        <v/>
      </c>
      <c r="I665" s="155" t="str">
        <f aca="false">IF(D665="Warmwasser",G665-F665,"")</f>
        <v/>
      </c>
      <c r="J665" s="156" t="str">
        <f aca="false">IF(D665="ista",G665,"")</f>
        <v/>
      </c>
    </row>
    <row r="666" customFormat="false" ht="13.5" hidden="false" customHeight="false" outlineLevel="0" collapsed="false">
      <c r="A666" s="160"/>
      <c r="B666" s="160"/>
      <c r="C666" s="160"/>
      <c r="D666" s="160"/>
      <c r="E666" s="160"/>
      <c r="F666" s="161"/>
      <c r="G666" s="161"/>
      <c r="H666" s="155" t="str">
        <f aca="false">IF(D666="Kaltwasser",G666-F666,"")</f>
        <v/>
      </c>
      <c r="I666" s="155" t="str">
        <f aca="false">IF(D666="Warmwasser",G666-F666,"")</f>
        <v/>
      </c>
      <c r="J666" s="156" t="str">
        <f aca="false">IF(D666="ista",G666,"")</f>
        <v/>
      </c>
    </row>
    <row r="667" customFormat="false" ht="13.5" hidden="false" customHeight="false" outlineLevel="0" collapsed="false">
      <c r="A667" s="160"/>
      <c r="B667" s="160"/>
      <c r="C667" s="160"/>
      <c r="D667" s="160"/>
      <c r="E667" s="160"/>
      <c r="F667" s="161"/>
      <c r="G667" s="161"/>
      <c r="H667" s="155" t="str">
        <f aca="false">IF(D667="Kaltwasser",G667-F667,"")</f>
        <v/>
      </c>
      <c r="I667" s="155" t="str">
        <f aca="false">IF(D667="Warmwasser",G667-F667,"")</f>
        <v/>
      </c>
      <c r="J667" s="156" t="str">
        <f aca="false">IF(D667="ista",G667,"")</f>
        <v/>
      </c>
    </row>
    <row r="668" customFormat="false" ht="13.5" hidden="false" customHeight="false" outlineLevel="0" collapsed="false">
      <c r="A668" s="160"/>
      <c r="B668" s="160"/>
      <c r="C668" s="160"/>
      <c r="D668" s="160"/>
      <c r="E668" s="160"/>
      <c r="F668" s="161"/>
      <c r="G668" s="161"/>
      <c r="H668" s="155" t="str">
        <f aca="false">IF(D668="Kaltwasser",G668-F668,"")</f>
        <v/>
      </c>
      <c r="I668" s="155" t="str">
        <f aca="false">IF(D668="Warmwasser",G668-F668,"")</f>
        <v/>
      </c>
      <c r="J668" s="156" t="str">
        <f aca="false">IF(D668="ista",G668,"")</f>
        <v/>
      </c>
    </row>
    <row r="669" customFormat="false" ht="13.5" hidden="false" customHeight="false" outlineLevel="0" collapsed="false">
      <c r="A669" s="160"/>
      <c r="B669" s="160"/>
      <c r="C669" s="160"/>
      <c r="D669" s="160"/>
      <c r="E669" s="160"/>
      <c r="F669" s="161"/>
      <c r="G669" s="161"/>
      <c r="H669" s="155" t="str">
        <f aca="false">IF(D669="Kaltwasser",G669-F669,"")</f>
        <v/>
      </c>
      <c r="I669" s="155" t="str">
        <f aca="false">IF(D669="Warmwasser",G669-F669,"")</f>
        <v/>
      </c>
      <c r="J669" s="156" t="str">
        <f aca="false">IF(D669="ista",G669,"")</f>
        <v/>
      </c>
    </row>
    <row r="670" customFormat="false" ht="13.5" hidden="false" customHeight="false" outlineLevel="0" collapsed="false">
      <c r="A670" s="160"/>
      <c r="B670" s="160"/>
      <c r="C670" s="160"/>
      <c r="D670" s="160"/>
      <c r="E670" s="160"/>
      <c r="F670" s="161"/>
      <c r="G670" s="161"/>
      <c r="H670" s="155" t="str">
        <f aca="false">IF(D670="Kaltwasser",G670-F670,"")</f>
        <v/>
      </c>
      <c r="I670" s="155" t="str">
        <f aca="false">IF(D670="Warmwasser",G670-F670,"")</f>
        <v/>
      </c>
      <c r="J670" s="156" t="str">
        <f aca="false">IF(D670="ista",G670,"")</f>
        <v/>
      </c>
    </row>
    <row r="671" customFormat="false" ht="13.5" hidden="false" customHeight="false" outlineLevel="0" collapsed="false">
      <c r="A671" s="160"/>
      <c r="B671" s="160"/>
      <c r="C671" s="160"/>
      <c r="D671" s="160"/>
      <c r="E671" s="160"/>
      <c r="F671" s="161"/>
      <c r="G671" s="161"/>
      <c r="H671" s="155" t="str">
        <f aca="false">IF(D671="Kaltwasser",G671-F671,"")</f>
        <v/>
      </c>
      <c r="I671" s="155" t="str">
        <f aca="false">IF(D671="Warmwasser",G671-F671,"")</f>
        <v/>
      </c>
      <c r="J671" s="156" t="str">
        <f aca="false">IF(D671="ista",G671,"")</f>
        <v/>
      </c>
    </row>
    <row r="672" customFormat="false" ht="13.5" hidden="false" customHeight="false" outlineLevel="0" collapsed="false">
      <c r="A672" s="160"/>
      <c r="B672" s="160"/>
      <c r="C672" s="160"/>
      <c r="D672" s="160"/>
      <c r="E672" s="160"/>
      <c r="F672" s="161"/>
      <c r="G672" s="161"/>
      <c r="H672" s="155" t="str">
        <f aca="false">IF(D672="Kaltwasser",G672-F672,"")</f>
        <v/>
      </c>
      <c r="I672" s="155" t="str">
        <f aca="false">IF(D672="Warmwasser",G672-F672,"")</f>
        <v/>
      </c>
      <c r="J672" s="156" t="str">
        <f aca="false">IF(D672="ista",G672,"")</f>
        <v/>
      </c>
    </row>
    <row r="673" customFormat="false" ht="13.5" hidden="false" customHeight="false" outlineLevel="0" collapsed="false">
      <c r="A673" s="160"/>
      <c r="B673" s="160"/>
      <c r="C673" s="160"/>
      <c r="D673" s="160"/>
      <c r="E673" s="160"/>
      <c r="F673" s="161"/>
      <c r="G673" s="161"/>
      <c r="H673" s="155" t="str">
        <f aca="false">IF(D673="Kaltwasser",G673-F673,"")</f>
        <v/>
      </c>
      <c r="I673" s="155" t="str">
        <f aca="false">IF(D673="Warmwasser",G673-F673,"")</f>
        <v/>
      </c>
      <c r="J673" s="156" t="str">
        <f aca="false">IF(D673="ista",G673,"")</f>
        <v/>
      </c>
    </row>
    <row r="674" customFormat="false" ht="13.5" hidden="false" customHeight="false" outlineLevel="0" collapsed="false">
      <c r="A674" s="160"/>
      <c r="B674" s="160"/>
      <c r="C674" s="160"/>
      <c r="D674" s="160"/>
      <c r="E674" s="160"/>
      <c r="F674" s="161"/>
      <c r="G674" s="161"/>
      <c r="H674" s="155" t="str">
        <f aca="false">IF(D674="Kaltwasser",G674-F674,"")</f>
        <v/>
      </c>
      <c r="I674" s="155" t="str">
        <f aca="false">IF(D674="Warmwasser",G674-F674,"")</f>
        <v/>
      </c>
      <c r="J674" s="156" t="str">
        <f aca="false">IF(D674="ista",G674,"")</f>
        <v/>
      </c>
    </row>
    <row r="675" customFormat="false" ht="13.5" hidden="false" customHeight="false" outlineLevel="0" collapsed="false">
      <c r="A675" s="160"/>
      <c r="B675" s="160"/>
      <c r="C675" s="160"/>
      <c r="D675" s="160"/>
      <c r="E675" s="160"/>
      <c r="F675" s="161"/>
      <c r="G675" s="161"/>
      <c r="H675" s="155" t="str">
        <f aca="false">IF(D675="Kaltwasser",G675-F675,"")</f>
        <v/>
      </c>
      <c r="I675" s="155" t="str">
        <f aca="false">IF(D675="Warmwasser",G675-F675,"")</f>
        <v/>
      </c>
      <c r="J675" s="156" t="str">
        <f aca="false">IF(D675="ista",G675,"")</f>
        <v/>
      </c>
    </row>
    <row r="676" customFormat="false" ht="13.5" hidden="false" customHeight="false" outlineLevel="0" collapsed="false">
      <c r="A676" s="160"/>
      <c r="B676" s="160"/>
      <c r="C676" s="160"/>
      <c r="D676" s="160"/>
      <c r="E676" s="160"/>
      <c r="F676" s="161"/>
      <c r="G676" s="161"/>
      <c r="H676" s="155" t="str">
        <f aca="false">IF(D676="Kaltwasser",G676-F676,"")</f>
        <v/>
      </c>
      <c r="I676" s="155" t="str">
        <f aca="false">IF(D676="Warmwasser",G676-F676,"")</f>
        <v/>
      </c>
      <c r="J676" s="156" t="str">
        <f aca="false">IF(D676="ista",G676,"")</f>
        <v/>
      </c>
    </row>
    <row r="677" customFormat="false" ht="13.5" hidden="false" customHeight="false" outlineLevel="0" collapsed="false">
      <c r="A677" s="160"/>
      <c r="B677" s="160"/>
      <c r="C677" s="160"/>
      <c r="D677" s="160"/>
      <c r="E677" s="160"/>
      <c r="F677" s="161"/>
      <c r="G677" s="161"/>
      <c r="H677" s="155" t="str">
        <f aca="false">IF(D677="Kaltwasser",G677-F677,"")</f>
        <v/>
      </c>
      <c r="I677" s="155" t="str">
        <f aca="false">IF(D677="Warmwasser",G677-F677,"")</f>
        <v/>
      </c>
      <c r="J677" s="156" t="str">
        <f aca="false">IF(D677="ista",G677,"")</f>
        <v/>
      </c>
    </row>
    <row r="678" customFormat="false" ht="13.5" hidden="false" customHeight="false" outlineLevel="0" collapsed="false">
      <c r="A678" s="160"/>
      <c r="B678" s="160"/>
      <c r="C678" s="160"/>
      <c r="D678" s="160"/>
      <c r="E678" s="160"/>
      <c r="F678" s="161"/>
      <c r="G678" s="161"/>
      <c r="H678" s="155" t="str">
        <f aca="false">IF(D678="Kaltwasser",G678-F678,"")</f>
        <v/>
      </c>
      <c r="I678" s="155" t="str">
        <f aca="false">IF(D678="Warmwasser",G678-F678,"")</f>
        <v/>
      </c>
      <c r="J678" s="156" t="str">
        <f aca="false">IF(D678="ista",G678,"")</f>
        <v/>
      </c>
    </row>
    <row r="679" customFormat="false" ht="13.5" hidden="false" customHeight="false" outlineLevel="0" collapsed="false">
      <c r="A679" s="160"/>
      <c r="B679" s="160"/>
      <c r="C679" s="160"/>
      <c r="D679" s="160"/>
      <c r="E679" s="160"/>
      <c r="F679" s="161"/>
      <c r="G679" s="161"/>
      <c r="H679" s="155" t="str">
        <f aca="false">IF(D679="Kaltwasser",G679-F679,"")</f>
        <v/>
      </c>
      <c r="I679" s="155" t="str">
        <f aca="false">IF(D679="Warmwasser",G679-F679,"")</f>
        <v/>
      </c>
      <c r="J679" s="156" t="str">
        <f aca="false">IF(D679="ista",G679,"")</f>
        <v/>
      </c>
    </row>
    <row r="680" customFormat="false" ht="13.5" hidden="false" customHeight="false" outlineLevel="0" collapsed="false">
      <c r="A680" s="160"/>
      <c r="B680" s="160"/>
      <c r="C680" s="160"/>
      <c r="D680" s="160"/>
      <c r="E680" s="160"/>
      <c r="F680" s="161"/>
      <c r="G680" s="161"/>
      <c r="H680" s="155" t="str">
        <f aca="false">IF(D680="Kaltwasser",G680-F680,"")</f>
        <v/>
      </c>
      <c r="I680" s="155" t="str">
        <f aca="false">IF(D680="Warmwasser",G680-F680,"")</f>
        <v/>
      </c>
      <c r="J680" s="156" t="str">
        <f aca="false">IF(D680="ista",G680,"")</f>
        <v/>
      </c>
    </row>
    <row r="681" customFormat="false" ht="13.5" hidden="false" customHeight="false" outlineLevel="0" collapsed="false">
      <c r="A681" s="160"/>
      <c r="B681" s="160"/>
      <c r="C681" s="160"/>
      <c r="D681" s="160"/>
      <c r="E681" s="160"/>
      <c r="F681" s="161"/>
      <c r="G681" s="161"/>
      <c r="H681" s="155" t="str">
        <f aca="false">IF(D681="Kaltwasser",G681-F681,"")</f>
        <v/>
      </c>
      <c r="I681" s="155" t="str">
        <f aca="false">IF(D681="Warmwasser",G681-F681,"")</f>
        <v/>
      </c>
      <c r="J681" s="156" t="str">
        <f aca="false">IF(D681="ista",G681,"")</f>
        <v/>
      </c>
    </row>
    <row r="682" customFormat="false" ht="13.5" hidden="false" customHeight="false" outlineLevel="0" collapsed="false">
      <c r="A682" s="160"/>
      <c r="B682" s="160"/>
      <c r="C682" s="160"/>
      <c r="D682" s="160"/>
      <c r="E682" s="160"/>
      <c r="F682" s="161"/>
      <c r="G682" s="161"/>
      <c r="H682" s="155" t="str">
        <f aca="false">IF(D682="Kaltwasser",G682-F682,"")</f>
        <v/>
      </c>
      <c r="I682" s="155" t="str">
        <f aca="false">IF(D682="Warmwasser",G682-F682,"")</f>
        <v/>
      </c>
      <c r="J682" s="156" t="str">
        <f aca="false">IF(D682="ista",G682,"")</f>
        <v/>
      </c>
    </row>
    <row r="683" customFormat="false" ht="13.5" hidden="false" customHeight="false" outlineLevel="0" collapsed="false">
      <c r="A683" s="160"/>
      <c r="B683" s="160"/>
      <c r="C683" s="160"/>
      <c r="D683" s="160"/>
      <c r="E683" s="160"/>
      <c r="F683" s="161"/>
      <c r="G683" s="161"/>
      <c r="H683" s="155" t="str">
        <f aca="false">IF(D683="Kaltwasser",G683-F683,"")</f>
        <v/>
      </c>
      <c r="I683" s="155" t="str">
        <f aca="false">IF(D683="Warmwasser",G683-F683,"")</f>
        <v/>
      </c>
      <c r="J683" s="156" t="str">
        <f aca="false">IF(D683="ista",G683,"")</f>
        <v/>
      </c>
    </row>
    <row r="684" customFormat="false" ht="13.5" hidden="false" customHeight="false" outlineLevel="0" collapsed="false">
      <c r="A684" s="160"/>
      <c r="B684" s="160"/>
      <c r="C684" s="160"/>
      <c r="D684" s="160"/>
      <c r="E684" s="160"/>
      <c r="F684" s="161"/>
      <c r="G684" s="161"/>
      <c r="H684" s="155" t="str">
        <f aca="false">IF(D684="Kaltwasser",G684-F684,"")</f>
        <v/>
      </c>
      <c r="I684" s="155" t="str">
        <f aca="false">IF(D684="Warmwasser",G684-F684,"")</f>
        <v/>
      </c>
      <c r="J684" s="156" t="str">
        <f aca="false">IF(D684="ista",G684,"")</f>
        <v/>
      </c>
    </row>
    <row r="685" customFormat="false" ht="13.5" hidden="false" customHeight="false" outlineLevel="0" collapsed="false">
      <c r="A685" s="160"/>
      <c r="B685" s="160"/>
      <c r="C685" s="160"/>
      <c r="D685" s="160"/>
      <c r="E685" s="160"/>
      <c r="F685" s="161"/>
      <c r="G685" s="161"/>
      <c r="H685" s="155" t="str">
        <f aca="false">IF(D685="Kaltwasser",G685-F685,"")</f>
        <v/>
      </c>
      <c r="I685" s="155" t="str">
        <f aca="false">IF(D685="Warmwasser",G685-F685,"")</f>
        <v/>
      </c>
      <c r="J685" s="156" t="str">
        <f aca="false">IF(D685="ista",G685,"")</f>
        <v/>
      </c>
    </row>
    <row r="686" customFormat="false" ht="13.5" hidden="false" customHeight="false" outlineLevel="0" collapsed="false">
      <c r="A686" s="160"/>
      <c r="B686" s="160"/>
      <c r="C686" s="160"/>
      <c r="D686" s="160"/>
      <c r="E686" s="160"/>
      <c r="F686" s="161"/>
      <c r="G686" s="161"/>
      <c r="H686" s="155" t="str">
        <f aca="false">IF(D686="Kaltwasser",G686-F686,"")</f>
        <v/>
      </c>
      <c r="I686" s="155" t="str">
        <f aca="false">IF(D686="Warmwasser",G686-F686,"")</f>
        <v/>
      </c>
      <c r="J686" s="156" t="str">
        <f aca="false">IF(D686="ista",G686,"")</f>
        <v/>
      </c>
    </row>
    <row r="687" customFormat="false" ht="13.5" hidden="false" customHeight="false" outlineLevel="0" collapsed="false">
      <c r="A687" s="160"/>
      <c r="B687" s="160"/>
      <c r="C687" s="160"/>
      <c r="D687" s="160"/>
      <c r="E687" s="160"/>
      <c r="F687" s="161"/>
      <c r="G687" s="161"/>
      <c r="H687" s="155" t="str">
        <f aca="false">IF(D687="Kaltwasser",G687-F687,"")</f>
        <v/>
      </c>
      <c r="I687" s="155" t="str">
        <f aca="false">IF(D687="Warmwasser",G687-F687,"")</f>
        <v/>
      </c>
      <c r="J687" s="156" t="str">
        <f aca="false">IF(D687="ista",G687,"")</f>
        <v/>
      </c>
    </row>
    <row r="688" customFormat="false" ht="13.5" hidden="false" customHeight="false" outlineLevel="0" collapsed="false">
      <c r="A688" s="160"/>
      <c r="B688" s="160"/>
      <c r="C688" s="160"/>
      <c r="D688" s="160"/>
      <c r="E688" s="160"/>
      <c r="F688" s="161"/>
      <c r="G688" s="161"/>
      <c r="H688" s="155" t="str">
        <f aca="false">IF(D688="Kaltwasser",G688-F688,"")</f>
        <v/>
      </c>
      <c r="I688" s="155" t="str">
        <f aca="false">IF(D688="Warmwasser",G688-F688,"")</f>
        <v/>
      </c>
      <c r="J688" s="156" t="str">
        <f aca="false">IF(D688="ista",G688,"")</f>
        <v/>
      </c>
    </row>
    <row r="689" customFormat="false" ht="13.5" hidden="false" customHeight="false" outlineLevel="0" collapsed="false">
      <c r="A689" s="160"/>
      <c r="B689" s="160"/>
      <c r="C689" s="160"/>
      <c r="D689" s="160"/>
      <c r="E689" s="160"/>
      <c r="F689" s="161"/>
      <c r="G689" s="161"/>
      <c r="H689" s="155" t="str">
        <f aca="false">IF(D689="Kaltwasser",G689-F689,"")</f>
        <v/>
      </c>
      <c r="I689" s="155" t="str">
        <f aca="false">IF(D689="Warmwasser",G689-F689,"")</f>
        <v/>
      </c>
      <c r="J689" s="156" t="str">
        <f aca="false">IF(D689="ista",G689,"")</f>
        <v/>
      </c>
    </row>
    <row r="690" customFormat="false" ht="13.5" hidden="false" customHeight="false" outlineLevel="0" collapsed="false">
      <c r="A690" s="160"/>
      <c r="B690" s="160"/>
      <c r="C690" s="160"/>
      <c r="D690" s="160"/>
      <c r="E690" s="160"/>
      <c r="F690" s="161"/>
      <c r="G690" s="161"/>
      <c r="H690" s="155" t="str">
        <f aca="false">IF(D690="Kaltwasser",G690-F690,"")</f>
        <v/>
      </c>
      <c r="I690" s="155" t="str">
        <f aca="false">IF(D690="Warmwasser",G690-F690,"")</f>
        <v/>
      </c>
      <c r="J690" s="156" t="str">
        <f aca="false">IF(D690="ista",G690,"")</f>
        <v/>
      </c>
    </row>
    <row r="691" customFormat="false" ht="13.5" hidden="false" customHeight="false" outlineLevel="0" collapsed="false">
      <c r="A691" s="160"/>
      <c r="B691" s="160"/>
      <c r="C691" s="160"/>
      <c r="D691" s="160"/>
      <c r="E691" s="160"/>
      <c r="F691" s="161"/>
      <c r="G691" s="161"/>
      <c r="H691" s="155" t="str">
        <f aca="false">IF(D691="Kaltwasser",G691-F691,"")</f>
        <v/>
      </c>
      <c r="I691" s="155" t="str">
        <f aca="false">IF(D691="Warmwasser",G691-F691,"")</f>
        <v/>
      </c>
      <c r="J691" s="156" t="str">
        <f aca="false">IF(D691="ista",G691,"")</f>
        <v/>
      </c>
    </row>
    <row r="692" customFormat="false" ht="13.5" hidden="false" customHeight="false" outlineLevel="0" collapsed="false">
      <c r="A692" s="160"/>
      <c r="B692" s="160"/>
      <c r="C692" s="160"/>
      <c r="D692" s="160"/>
      <c r="E692" s="160"/>
      <c r="F692" s="161"/>
      <c r="G692" s="161"/>
      <c r="H692" s="155" t="str">
        <f aca="false">IF(D692="Kaltwasser",G692-F692,"")</f>
        <v/>
      </c>
      <c r="I692" s="155" t="str">
        <f aca="false">IF(D692="Warmwasser",G692-F692,"")</f>
        <v/>
      </c>
      <c r="J692" s="156" t="str">
        <f aca="false">IF(D692="ista",G692,"")</f>
        <v/>
      </c>
    </row>
    <row r="693" customFormat="false" ht="13.5" hidden="false" customHeight="false" outlineLevel="0" collapsed="false">
      <c r="A693" s="160"/>
      <c r="B693" s="160"/>
      <c r="C693" s="160"/>
      <c r="D693" s="160"/>
      <c r="E693" s="160"/>
      <c r="F693" s="161"/>
      <c r="G693" s="161"/>
      <c r="H693" s="155" t="str">
        <f aca="false">IF(D693="Kaltwasser",G693-F693,"")</f>
        <v/>
      </c>
      <c r="I693" s="155" t="str">
        <f aca="false">IF(D693="Warmwasser",G693-F693,"")</f>
        <v/>
      </c>
      <c r="J693" s="156" t="str">
        <f aca="false">IF(D693="ista",G693,"")</f>
        <v/>
      </c>
    </row>
    <row r="694" customFormat="false" ht="13.5" hidden="false" customHeight="false" outlineLevel="0" collapsed="false">
      <c r="A694" s="160"/>
      <c r="B694" s="160"/>
      <c r="C694" s="160"/>
      <c r="D694" s="160"/>
      <c r="E694" s="160"/>
      <c r="F694" s="161"/>
      <c r="G694" s="161"/>
      <c r="H694" s="155" t="str">
        <f aca="false">IF(D694="Kaltwasser",G694-F694,"")</f>
        <v/>
      </c>
      <c r="I694" s="155" t="str">
        <f aca="false">IF(D694="Warmwasser",G694-F694,"")</f>
        <v/>
      </c>
      <c r="J694" s="156" t="str">
        <f aca="false">IF(D694="ista",G694,"")</f>
        <v/>
      </c>
    </row>
    <row r="695" customFormat="false" ht="13.5" hidden="false" customHeight="false" outlineLevel="0" collapsed="false">
      <c r="A695" s="160"/>
      <c r="B695" s="160"/>
      <c r="C695" s="160"/>
      <c r="D695" s="160"/>
      <c r="E695" s="160"/>
      <c r="F695" s="161"/>
      <c r="G695" s="161"/>
      <c r="H695" s="155" t="str">
        <f aca="false">IF(D695="Kaltwasser",G695-F695,"")</f>
        <v/>
      </c>
      <c r="I695" s="155" t="str">
        <f aca="false">IF(D695="Warmwasser",G695-F695,"")</f>
        <v/>
      </c>
      <c r="J695" s="156" t="str">
        <f aca="false">IF(D695="ista",G695,"")</f>
        <v/>
      </c>
    </row>
    <row r="696" customFormat="false" ht="13.5" hidden="false" customHeight="false" outlineLevel="0" collapsed="false">
      <c r="A696" s="160"/>
      <c r="B696" s="160"/>
      <c r="C696" s="160"/>
      <c r="D696" s="160"/>
      <c r="E696" s="160"/>
      <c r="F696" s="161"/>
      <c r="G696" s="161"/>
      <c r="H696" s="155" t="str">
        <f aca="false">IF(D696="Kaltwasser",G696-F696,"")</f>
        <v/>
      </c>
      <c r="I696" s="155" t="str">
        <f aca="false">IF(D696="Warmwasser",G696-F696,"")</f>
        <v/>
      </c>
      <c r="J696" s="156" t="str">
        <f aca="false">IF(D696="ista",G696,"")</f>
        <v/>
      </c>
    </row>
    <row r="697" customFormat="false" ht="13.5" hidden="false" customHeight="false" outlineLevel="0" collapsed="false">
      <c r="A697" s="160"/>
      <c r="B697" s="160"/>
      <c r="C697" s="160"/>
      <c r="D697" s="160"/>
      <c r="E697" s="160"/>
      <c r="F697" s="161"/>
      <c r="G697" s="161"/>
      <c r="H697" s="155" t="str">
        <f aca="false">IF(D697="Kaltwasser",G697-F697,"")</f>
        <v/>
      </c>
      <c r="I697" s="155" t="str">
        <f aca="false">IF(D697="Warmwasser",G697-F697,"")</f>
        <v/>
      </c>
      <c r="J697" s="156" t="str">
        <f aca="false">IF(D697="ista",G697,"")</f>
        <v/>
      </c>
    </row>
    <row r="698" customFormat="false" ht="13.5" hidden="false" customHeight="false" outlineLevel="0" collapsed="false">
      <c r="A698" s="160"/>
      <c r="B698" s="160"/>
      <c r="C698" s="160"/>
      <c r="D698" s="160"/>
      <c r="E698" s="160"/>
      <c r="F698" s="161"/>
      <c r="G698" s="161"/>
      <c r="H698" s="155" t="str">
        <f aca="false">IF(D698="Kaltwasser",G698-F698,"")</f>
        <v/>
      </c>
      <c r="I698" s="155" t="str">
        <f aca="false">IF(D698="Warmwasser",G698-F698,"")</f>
        <v/>
      </c>
      <c r="J698" s="156" t="str">
        <f aca="false">IF(D698="ista",G698,"")</f>
        <v/>
      </c>
    </row>
    <row r="699" customFormat="false" ht="13.5" hidden="false" customHeight="false" outlineLevel="0" collapsed="false">
      <c r="A699" s="160"/>
      <c r="B699" s="160"/>
      <c r="C699" s="160"/>
      <c r="D699" s="160"/>
      <c r="E699" s="160"/>
      <c r="F699" s="161"/>
      <c r="G699" s="161"/>
      <c r="H699" s="155" t="str">
        <f aca="false">IF(D699="Kaltwasser",G699-F699,"")</f>
        <v/>
      </c>
      <c r="I699" s="155" t="str">
        <f aca="false">IF(D699="Warmwasser",G699-F699,"")</f>
        <v/>
      </c>
      <c r="J699" s="156" t="str">
        <f aca="false">IF(D699="ista",G699,"")</f>
        <v/>
      </c>
    </row>
    <row r="700" customFormat="false" ht="13.5" hidden="false" customHeight="false" outlineLevel="0" collapsed="false">
      <c r="A700" s="160"/>
      <c r="B700" s="160"/>
      <c r="C700" s="160"/>
      <c r="D700" s="160"/>
      <c r="E700" s="160"/>
      <c r="F700" s="161"/>
      <c r="G700" s="161"/>
      <c r="H700" s="155" t="str">
        <f aca="false">IF(D700="Kaltwasser",G700-F700,"")</f>
        <v/>
      </c>
      <c r="I700" s="155" t="str">
        <f aca="false">IF(D700="Warmwasser",G700-F700,"")</f>
        <v/>
      </c>
      <c r="J700" s="156" t="str">
        <f aca="false">IF(D700="ista",G700,"")</f>
        <v/>
      </c>
    </row>
    <row r="701" customFormat="false" ht="13.5" hidden="false" customHeight="false" outlineLevel="0" collapsed="false">
      <c r="A701" s="160"/>
      <c r="B701" s="160"/>
      <c r="C701" s="160"/>
      <c r="D701" s="160"/>
      <c r="E701" s="160"/>
      <c r="F701" s="161"/>
      <c r="G701" s="161"/>
      <c r="H701" s="155" t="str">
        <f aca="false">IF(D701="Kaltwasser",G701-F701,"")</f>
        <v/>
      </c>
      <c r="I701" s="155" t="str">
        <f aca="false">IF(D701="Warmwasser",G701-F701,"")</f>
        <v/>
      </c>
      <c r="J701" s="156" t="str">
        <f aca="false">IF(D701="ista",G701,"")</f>
        <v/>
      </c>
    </row>
    <row r="702" customFormat="false" ht="13.5" hidden="false" customHeight="false" outlineLevel="0" collapsed="false">
      <c r="A702" s="160"/>
      <c r="B702" s="160"/>
      <c r="C702" s="160"/>
      <c r="D702" s="160"/>
      <c r="E702" s="160"/>
      <c r="F702" s="161"/>
      <c r="G702" s="161"/>
      <c r="H702" s="155" t="str">
        <f aca="false">IF(D702="Kaltwasser",G702-F702,"")</f>
        <v/>
      </c>
      <c r="I702" s="155" t="str">
        <f aca="false">IF(D702="Warmwasser",G702-F702,"")</f>
        <v/>
      </c>
      <c r="J702" s="156" t="str">
        <f aca="false">IF(D702="ista",G702,"")</f>
        <v/>
      </c>
    </row>
    <row r="703" customFormat="false" ht="13.5" hidden="false" customHeight="false" outlineLevel="0" collapsed="false">
      <c r="A703" s="160"/>
      <c r="B703" s="160"/>
      <c r="C703" s="160"/>
      <c r="D703" s="160"/>
      <c r="E703" s="160"/>
      <c r="F703" s="161"/>
      <c r="G703" s="161"/>
      <c r="H703" s="155" t="str">
        <f aca="false">IF(D703="Kaltwasser",G703-F703,"")</f>
        <v/>
      </c>
      <c r="I703" s="155" t="str">
        <f aca="false">IF(D703="Warmwasser",G703-F703,"")</f>
        <v/>
      </c>
      <c r="J703" s="156" t="str">
        <f aca="false">IF(D703="ista",G703,"")</f>
        <v/>
      </c>
    </row>
    <row r="704" customFormat="false" ht="13.5" hidden="false" customHeight="false" outlineLevel="0" collapsed="false">
      <c r="A704" s="160"/>
      <c r="B704" s="160"/>
      <c r="C704" s="160"/>
      <c r="D704" s="160"/>
      <c r="E704" s="160"/>
      <c r="F704" s="161"/>
      <c r="G704" s="161"/>
      <c r="H704" s="155" t="str">
        <f aca="false">IF(D704="Kaltwasser",G704-F704,"")</f>
        <v/>
      </c>
      <c r="I704" s="155" t="str">
        <f aca="false">IF(D704="Warmwasser",G704-F704,"")</f>
        <v/>
      </c>
      <c r="J704" s="156" t="str">
        <f aca="false">IF(D704="ista",G704,"")</f>
        <v/>
      </c>
    </row>
    <row r="705" customFormat="false" ht="13.5" hidden="false" customHeight="false" outlineLevel="0" collapsed="false">
      <c r="A705" s="160"/>
      <c r="B705" s="160"/>
      <c r="C705" s="160"/>
      <c r="D705" s="160"/>
      <c r="E705" s="160"/>
      <c r="F705" s="161"/>
      <c r="G705" s="161"/>
      <c r="H705" s="155" t="str">
        <f aca="false">IF(D705="Kaltwasser",G705-F705,"")</f>
        <v/>
      </c>
      <c r="I705" s="155" t="str">
        <f aca="false">IF(D705="Warmwasser",G705-F705,"")</f>
        <v/>
      </c>
      <c r="J705" s="156" t="str">
        <f aca="false">IF(D705="ista",G705,"")</f>
        <v/>
      </c>
    </row>
    <row r="706" customFormat="false" ht="13.5" hidden="false" customHeight="false" outlineLevel="0" collapsed="false">
      <c r="A706" s="160"/>
      <c r="B706" s="160"/>
      <c r="C706" s="160"/>
      <c r="D706" s="160"/>
      <c r="E706" s="160"/>
      <c r="F706" s="161"/>
      <c r="G706" s="161"/>
      <c r="H706" s="155" t="str">
        <f aca="false">IF(D706="Kaltwasser",G706-F706,"")</f>
        <v/>
      </c>
      <c r="I706" s="155" t="str">
        <f aca="false">IF(D706="Warmwasser",G706-F706,"")</f>
        <v/>
      </c>
      <c r="J706" s="156" t="str">
        <f aca="false">IF(D706="ista",G706,"")</f>
        <v/>
      </c>
    </row>
    <row r="707" customFormat="false" ht="13.5" hidden="false" customHeight="false" outlineLevel="0" collapsed="false">
      <c r="A707" s="160"/>
      <c r="B707" s="160"/>
      <c r="C707" s="160"/>
      <c r="D707" s="160"/>
      <c r="E707" s="160"/>
      <c r="F707" s="161"/>
      <c r="G707" s="161"/>
      <c r="H707" s="155" t="str">
        <f aca="false">IF(D707="Kaltwasser",G707-F707,"")</f>
        <v/>
      </c>
      <c r="I707" s="155" t="str">
        <f aca="false">IF(D707="Warmwasser",G707-F707,"")</f>
        <v/>
      </c>
      <c r="J707" s="156" t="str">
        <f aca="false">IF(D707="ista",G707,"")</f>
        <v/>
      </c>
    </row>
    <row r="708" customFormat="false" ht="13.5" hidden="false" customHeight="false" outlineLevel="0" collapsed="false">
      <c r="A708" s="160"/>
      <c r="B708" s="160"/>
      <c r="C708" s="160"/>
      <c r="D708" s="160"/>
      <c r="E708" s="160"/>
      <c r="F708" s="161"/>
      <c r="G708" s="161"/>
      <c r="H708" s="155" t="str">
        <f aca="false">IF(D708="Kaltwasser",G708-F708,"")</f>
        <v/>
      </c>
      <c r="I708" s="155" t="str">
        <f aca="false">IF(D708="Warmwasser",G708-F708,"")</f>
        <v/>
      </c>
      <c r="J708" s="156" t="str">
        <f aca="false">IF(D708="ista",G708,"")</f>
        <v/>
      </c>
    </row>
    <row r="709" customFormat="false" ht="13.5" hidden="false" customHeight="false" outlineLevel="0" collapsed="false">
      <c r="A709" s="160"/>
      <c r="B709" s="160"/>
      <c r="C709" s="160"/>
      <c r="D709" s="160"/>
      <c r="E709" s="160"/>
      <c r="F709" s="161"/>
      <c r="G709" s="161"/>
      <c r="H709" s="155" t="str">
        <f aca="false">IF(D709="Kaltwasser",G709-F709,"")</f>
        <v/>
      </c>
      <c r="I709" s="155" t="str">
        <f aca="false">IF(D709="Warmwasser",G709-F709,"")</f>
        <v/>
      </c>
      <c r="J709" s="156" t="str">
        <f aca="false">IF(D709="ista",G709,"")</f>
        <v/>
      </c>
    </row>
    <row r="710" customFormat="false" ht="13.5" hidden="false" customHeight="false" outlineLevel="0" collapsed="false">
      <c r="A710" s="160"/>
      <c r="B710" s="160"/>
      <c r="C710" s="160"/>
      <c r="D710" s="160"/>
      <c r="E710" s="160"/>
      <c r="F710" s="161"/>
      <c r="G710" s="161"/>
      <c r="H710" s="155" t="str">
        <f aca="false">IF(D710="Kaltwasser",G710-F710,"")</f>
        <v/>
      </c>
      <c r="I710" s="155" t="str">
        <f aca="false">IF(D710="Warmwasser",G710-F710,"")</f>
        <v/>
      </c>
      <c r="J710" s="156" t="str">
        <f aca="false">IF(D710="ista",G710,"")</f>
        <v/>
      </c>
    </row>
    <row r="711" customFormat="false" ht="13.5" hidden="false" customHeight="false" outlineLevel="0" collapsed="false">
      <c r="A711" s="160"/>
      <c r="B711" s="160"/>
      <c r="C711" s="160"/>
      <c r="D711" s="160"/>
      <c r="E711" s="160"/>
      <c r="F711" s="161"/>
      <c r="G711" s="161"/>
      <c r="H711" s="155" t="str">
        <f aca="false">IF(D711="Kaltwasser",G711-F711,"")</f>
        <v/>
      </c>
      <c r="I711" s="155" t="str">
        <f aca="false">IF(D711="Warmwasser",G711-F711,"")</f>
        <v/>
      </c>
      <c r="J711" s="156" t="str">
        <f aca="false">IF(D711="ista",G711,"")</f>
        <v/>
      </c>
    </row>
    <row r="712" customFormat="false" ht="13.5" hidden="false" customHeight="false" outlineLevel="0" collapsed="false">
      <c r="A712" s="160"/>
      <c r="B712" s="160"/>
      <c r="C712" s="160"/>
      <c r="D712" s="160"/>
      <c r="E712" s="160"/>
      <c r="F712" s="161"/>
      <c r="G712" s="161"/>
      <c r="H712" s="155" t="str">
        <f aca="false">IF(D712="Kaltwasser",G712-F712,"")</f>
        <v/>
      </c>
      <c r="I712" s="155" t="str">
        <f aca="false">IF(D712="Warmwasser",G712-F712,"")</f>
        <v/>
      </c>
      <c r="J712" s="156" t="str">
        <f aca="false">IF(D712="ista",G712,"")</f>
        <v/>
      </c>
    </row>
    <row r="713" customFormat="false" ht="13.5" hidden="false" customHeight="false" outlineLevel="0" collapsed="false">
      <c r="A713" s="160"/>
      <c r="B713" s="160"/>
      <c r="C713" s="160"/>
      <c r="D713" s="160"/>
      <c r="E713" s="160"/>
      <c r="F713" s="161"/>
      <c r="G713" s="161"/>
      <c r="H713" s="155" t="str">
        <f aca="false">IF(D713="Kaltwasser",G713-F713,"")</f>
        <v/>
      </c>
      <c r="I713" s="155" t="str">
        <f aca="false">IF(D713="Warmwasser",G713-F713,"")</f>
        <v/>
      </c>
      <c r="J713" s="156" t="str">
        <f aca="false">IF(D713="ista",G713,"")</f>
        <v/>
      </c>
    </row>
    <row r="714" customFormat="false" ht="13.5" hidden="false" customHeight="false" outlineLevel="0" collapsed="false">
      <c r="A714" s="160"/>
      <c r="B714" s="160"/>
      <c r="C714" s="160"/>
      <c r="D714" s="160"/>
      <c r="E714" s="160"/>
      <c r="F714" s="161"/>
      <c r="G714" s="161"/>
      <c r="H714" s="155" t="str">
        <f aca="false">IF(D714="Kaltwasser",G714-F714,"")</f>
        <v/>
      </c>
      <c r="I714" s="155" t="str">
        <f aca="false">IF(D714="Warmwasser",G714-F714,"")</f>
        <v/>
      </c>
      <c r="J714" s="156" t="str">
        <f aca="false">IF(D714="ista",G714,"")</f>
        <v/>
      </c>
    </row>
    <row r="715" customFormat="false" ht="13.5" hidden="false" customHeight="false" outlineLevel="0" collapsed="false">
      <c r="A715" s="160"/>
      <c r="B715" s="160"/>
      <c r="C715" s="160"/>
      <c r="D715" s="160"/>
      <c r="E715" s="160"/>
      <c r="F715" s="161"/>
      <c r="G715" s="161"/>
      <c r="H715" s="155" t="str">
        <f aca="false">IF(D715="Kaltwasser",G715-F715,"")</f>
        <v/>
      </c>
      <c r="I715" s="155" t="str">
        <f aca="false">IF(D715="Warmwasser",G715-F715,"")</f>
        <v/>
      </c>
      <c r="J715" s="156" t="str">
        <f aca="false">IF(D715="ista",G715,"")</f>
        <v/>
      </c>
    </row>
    <row r="716" customFormat="false" ht="13.5" hidden="false" customHeight="false" outlineLevel="0" collapsed="false">
      <c r="A716" s="160"/>
      <c r="B716" s="160"/>
      <c r="C716" s="160"/>
      <c r="D716" s="160"/>
      <c r="E716" s="160"/>
      <c r="F716" s="161"/>
      <c r="G716" s="161"/>
      <c r="H716" s="155" t="str">
        <f aca="false">IF(D716="Kaltwasser",G716-F716,"")</f>
        <v/>
      </c>
      <c r="I716" s="155" t="str">
        <f aca="false">IF(D716="Warmwasser",G716-F716,"")</f>
        <v/>
      </c>
      <c r="J716" s="156" t="str">
        <f aca="false">IF(D716="ista",G716,"")</f>
        <v/>
      </c>
    </row>
    <row r="717" customFormat="false" ht="13.5" hidden="false" customHeight="false" outlineLevel="0" collapsed="false">
      <c r="A717" s="160"/>
      <c r="B717" s="160"/>
      <c r="C717" s="160"/>
      <c r="D717" s="160"/>
      <c r="E717" s="160"/>
      <c r="F717" s="161"/>
      <c r="G717" s="161"/>
      <c r="H717" s="155" t="str">
        <f aca="false">IF(D717="Kaltwasser",G717-F717,"")</f>
        <v/>
      </c>
      <c r="I717" s="155" t="str">
        <f aca="false">IF(D717="Warmwasser",G717-F717,"")</f>
        <v/>
      </c>
      <c r="J717" s="156" t="str">
        <f aca="false">IF(D717="ista",G717,"")</f>
        <v/>
      </c>
    </row>
    <row r="718" customFormat="false" ht="13.5" hidden="false" customHeight="false" outlineLevel="0" collapsed="false">
      <c r="A718" s="160"/>
      <c r="B718" s="160"/>
      <c r="C718" s="160"/>
      <c r="D718" s="160"/>
      <c r="E718" s="160"/>
      <c r="F718" s="161"/>
      <c r="G718" s="161"/>
      <c r="H718" s="155" t="str">
        <f aca="false">IF(D718="Kaltwasser",G718-F718,"")</f>
        <v/>
      </c>
      <c r="I718" s="155" t="str">
        <f aca="false">IF(D718="Warmwasser",G718-F718,"")</f>
        <v/>
      </c>
      <c r="J718" s="156" t="str">
        <f aca="false">IF(D718="ista",G718,"")</f>
        <v/>
      </c>
    </row>
    <row r="719" customFormat="false" ht="13.5" hidden="false" customHeight="false" outlineLevel="0" collapsed="false">
      <c r="A719" s="160"/>
      <c r="B719" s="160"/>
      <c r="C719" s="160"/>
      <c r="D719" s="160"/>
      <c r="E719" s="160"/>
      <c r="F719" s="161"/>
      <c r="G719" s="161"/>
      <c r="H719" s="155" t="str">
        <f aca="false">IF(D719="Kaltwasser",G719-F719,"")</f>
        <v/>
      </c>
      <c r="I719" s="155" t="str">
        <f aca="false">IF(D719="Warmwasser",G719-F719,"")</f>
        <v/>
      </c>
      <c r="J719" s="156" t="str">
        <f aca="false">IF(D719="ista",G719,"")</f>
        <v/>
      </c>
    </row>
    <row r="720" customFormat="false" ht="13.5" hidden="false" customHeight="false" outlineLevel="0" collapsed="false">
      <c r="A720" s="160"/>
      <c r="B720" s="160"/>
      <c r="C720" s="160"/>
      <c r="D720" s="160"/>
      <c r="E720" s="160"/>
      <c r="F720" s="161"/>
      <c r="G720" s="161"/>
      <c r="H720" s="155" t="str">
        <f aca="false">IF(D720="Kaltwasser",G720-F720,"")</f>
        <v/>
      </c>
      <c r="I720" s="155" t="str">
        <f aca="false">IF(D720="Warmwasser",G720-F720,"")</f>
        <v/>
      </c>
      <c r="J720" s="156" t="str">
        <f aca="false">IF(D720="ista",G720,"")</f>
        <v/>
      </c>
    </row>
    <row r="721" customFormat="false" ht="13.5" hidden="false" customHeight="false" outlineLevel="0" collapsed="false">
      <c r="A721" s="160"/>
      <c r="B721" s="160"/>
      <c r="C721" s="160"/>
      <c r="D721" s="160"/>
      <c r="E721" s="160"/>
      <c r="F721" s="161"/>
      <c r="G721" s="161"/>
      <c r="H721" s="155" t="str">
        <f aca="false">IF(D721="Kaltwasser",G721-F721,"")</f>
        <v/>
      </c>
      <c r="I721" s="155" t="str">
        <f aca="false">IF(D721="Warmwasser",G721-F721,"")</f>
        <v/>
      </c>
      <c r="J721" s="156" t="str">
        <f aca="false">IF(D721="ista",G721,"")</f>
        <v/>
      </c>
    </row>
    <row r="722" customFormat="false" ht="13.5" hidden="false" customHeight="false" outlineLevel="0" collapsed="false">
      <c r="A722" s="160"/>
      <c r="B722" s="160"/>
      <c r="C722" s="160"/>
      <c r="D722" s="160"/>
      <c r="E722" s="160"/>
      <c r="F722" s="161"/>
      <c r="G722" s="161"/>
      <c r="H722" s="155" t="str">
        <f aca="false">IF(D722="Kaltwasser",G722-F722,"")</f>
        <v/>
      </c>
      <c r="I722" s="155" t="str">
        <f aca="false">IF(D722="Warmwasser",G722-F722,"")</f>
        <v/>
      </c>
      <c r="J722" s="156" t="str">
        <f aca="false">IF(D722="ista",G722,"")</f>
        <v/>
      </c>
    </row>
    <row r="723" customFormat="false" ht="13.5" hidden="false" customHeight="false" outlineLevel="0" collapsed="false">
      <c r="A723" s="160"/>
      <c r="B723" s="160"/>
      <c r="C723" s="160"/>
      <c r="D723" s="160"/>
      <c r="E723" s="160"/>
      <c r="F723" s="161"/>
      <c r="G723" s="161"/>
      <c r="H723" s="155" t="str">
        <f aca="false">IF(D723="Kaltwasser",G723-F723,"")</f>
        <v/>
      </c>
      <c r="I723" s="155" t="str">
        <f aca="false">IF(D723="Warmwasser",G723-F723,"")</f>
        <v/>
      </c>
      <c r="J723" s="156" t="str">
        <f aca="false">IF(D723="ista",G723,"")</f>
        <v/>
      </c>
    </row>
    <row r="724" customFormat="false" ht="13.5" hidden="false" customHeight="false" outlineLevel="0" collapsed="false">
      <c r="A724" s="160"/>
      <c r="B724" s="160"/>
      <c r="C724" s="160"/>
      <c r="D724" s="160"/>
      <c r="E724" s="160"/>
      <c r="F724" s="161"/>
      <c r="G724" s="161"/>
      <c r="H724" s="155" t="str">
        <f aca="false">IF(D724="Kaltwasser",G724-F724,"")</f>
        <v/>
      </c>
      <c r="I724" s="155" t="str">
        <f aca="false">IF(D724="Warmwasser",G724-F724,"")</f>
        <v/>
      </c>
      <c r="J724" s="156" t="str">
        <f aca="false">IF(D724="ista",G724,"")</f>
        <v/>
      </c>
    </row>
    <row r="725" customFormat="false" ht="13.5" hidden="false" customHeight="false" outlineLevel="0" collapsed="false">
      <c r="A725" s="160"/>
      <c r="B725" s="160"/>
      <c r="C725" s="160"/>
      <c r="D725" s="160"/>
      <c r="E725" s="160"/>
      <c r="F725" s="161"/>
      <c r="G725" s="161"/>
      <c r="H725" s="155" t="str">
        <f aca="false">IF(D725="Kaltwasser",G725-F725,"")</f>
        <v/>
      </c>
      <c r="I725" s="155" t="str">
        <f aca="false">IF(D725="Warmwasser",G725-F725,"")</f>
        <v/>
      </c>
      <c r="J725" s="156" t="str">
        <f aca="false">IF(D725="ista",G725,"")</f>
        <v/>
      </c>
    </row>
    <row r="726" customFormat="false" ht="13.5" hidden="false" customHeight="false" outlineLevel="0" collapsed="false">
      <c r="A726" s="160"/>
      <c r="B726" s="160"/>
      <c r="C726" s="160"/>
      <c r="D726" s="160"/>
      <c r="E726" s="160"/>
      <c r="F726" s="161"/>
      <c r="G726" s="161"/>
      <c r="H726" s="155" t="str">
        <f aca="false">IF(D726="Kaltwasser",G726-F726,"")</f>
        <v/>
      </c>
      <c r="I726" s="155" t="str">
        <f aca="false">IF(D726="Warmwasser",G726-F726,"")</f>
        <v/>
      </c>
      <c r="J726" s="156" t="str">
        <f aca="false">IF(D726="ista",G726,"")</f>
        <v/>
      </c>
    </row>
    <row r="727" customFormat="false" ht="13.5" hidden="false" customHeight="false" outlineLevel="0" collapsed="false">
      <c r="A727" s="160"/>
      <c r="B727" s="160"/>
      <c r="C727" s="160"/>
      <c r="D727" s="160"/>
      <c r="E727" s="160"/>
      <c r="F727" s="161"/>
      <c r="G727" s="161"/>
      <c r="H727" s="155" t="str">
        <f aca="false">IF(D727="Kaltwasser",G727-F727,"")</f>
        <v/>
      </c>
      <c r="I727" s="155" t="str">
        <f aca="false">IF(D727="Warmwasser",G727-F727,"")</f>
        <v/>
      </c>
      <c r="J727" s="156" t="str">
        <f aca="false">IF(D727="ista",G727,"")</f>
        <v/>
      </c>
    </row>
    <row r="728" customFormat="false" ht="13.5" hidden="false" customHeight="false" outlineLevel="0" collapsed="false">
      <c r="A728" s="160"/>
      <c r="B728" s="160"/>
      <c r="C728" s="160"/>
      <c r="D728" s="160"/>
      <c r="E728" s="160"/>
      <c r="F728" s="161"/>
      <c r="G728" s="161"/>
      <c r="H728" s="155" t="str">
        <f aca="false">IF(D728="Kaltwasser",G728-F728,"")</f>
        <v/>
      </c>
      <c r="I728" s="155" t="str">
        <f aca="false">IF(D728="Warmwasser",G728-F728,"")</f>
        <v/>
      </c>
      <c r="J728" s="156" t="str">
        <f aca="false">IF(D728="ista",G728,"")</f>
        <v/>
      </c>
    </row>
    <row r="729" customFormat="false" ht="13.5" hidden="false" customHeight="false" outlineLevel="0" collapsed="false">
      <c r="A729" s="160"/>
      <c r="B729" s="160"/>
      <c r="C729" s="160"/>
      <c r="D729" s="160"/>
      <c r="E729" s="160"/>
      <c r="F729" s="161"/>
      <c r="G729" s="161"/>
      <c r="H729" s="155" t="str">
        <f aca="false">IF(D729="Kaltwasser",G729-F729,"")</f>
        <v/>
      </c>
      <c r="I729" s="155" t="str">
        <f aca="false">IF(D729="Warmwasser",G729-F729,"")</f>
        <v/>
      </c>
      <c r="J729" s="156" t="str">
        <f aca="false">IF(D729="ista",G729,"")</f>
        <v/>
      </c>
    </row>
    <row r="730" customFormat="false" ht="13.5" hidden="false" customHeight="false" outlineLevel="0" collapsed="false">
      <c r="A730" s="160"/>
      <c r="B730" s="160"/>
      <c r="C730" s="160"/>
      <c r="D730" s="160"/>
      <c r="E730" s="160"/>
      <c r="F730" s="161"/>
      <c r="G730" s="161"/>
      <c r="H730" s="155" t="str">
        <f aca="false">IF(D730="Kaltwasser",G730-F730,"")</f>
        <v/>
      </c>
      <c r="I730" s="155" t="str">
        <f aca="false">IF(D730="Warmwasser",G730-F730,"")</f>
        <v/>
      </c>
      <c r="J730" s="156" t="str">
        <f aca="false">IF(D730="ista",G730,"")</f>
        <v/>
      </c>
    </row>
    <row r="731" customFormat="false" ht="13.5" hidden="false" customHeight="false" outlineLevel="0" collapsed="false">
      <c r="A731" s="160"/>
      <c r="B731" s="160"/>
      <c r="C731" s="160"/>
      <c r="D731" s="160"/>
      <c r="E731" s="160"/>
      <c r="F731" s="161"/>
      <c r="G731" s="161"/>
      <c r="H731" s="155" t="str">
        <f aca="false">IF(D731="Kaltwasser",G731-F731,"")</f>
        <v/>
      </c>
      <c r="I731" s="155" t="str">
        <f aca="false">IF(D731="Warmwasser",G731-F731,"")</f>
        <v/>
      </c>
      <c r="J731" s="156" t="str">
        <f aca="false">IF(D731="ista",G731,"")</f>
        <v/>
      </c>
    </row>
    <row r="732" customFormat="false" ht="13.5" hidden="false" customHeight="false" outlineLevel="0" collapsed="false">
      <c r="A732" s="160"/>
      <c r="B732" s="160"/>
      <c r="C732" s="160"/>
      <c r="D732" s="160"/>
      <c r="E732" s="160"/>
      <c r="F732" s="161"/>
      <c r="G732" s="161"/>
      <c r="H732" s="155" t="str">
        <f aca="false">IF(D732="Kaltwasser",G732-F732,"")</f>
        <v/>
      </c>
      <c r="I732" s="155" t="str">
        <f aca="false">IF(D732="Warmwasser",G732-F732,"")</f>
        <v/>
      </c>
      <c r="J732" s="156" t="str">
        <f aca="false">IF(D732="ista",G732,"")</f>
        <v/>
      </c>
    </row>
    <row r="733" customFormat="false" ht="13.5" hidden="false" customHeight="false" outlineLevel="0" collapsed="false">
      <c r="A733" s="160"/>
      <c r="B733" s="160"/>
      <c r="C733" s="160"/>
      <c r="D733" s="160"/>
      <c r="E733" s="160"/>
      <c r="F733" s="161"/>
      <c r="G733" s="161"/>
      <c r="H733" s="155" t="str">
        <f aca="false">IF(D733="Kaltwasser",G733-F733,"")</f>
        <v/>
      </c>
      <c r="I733" s="155" t="str">
        <f aca="false">IF(D733="Warmwasser",G733-F733,"")</f>
        <v/>
      </c>
      <c r="J733" s="156" t="str">
        <f aca="false">IF(D733="ista",G733,"")</f>
        <v/>
      </c>
    </row>
    <row r="734" customFormat="false" ht="13.5" hidden="false" customHeight="false" outlineLevel="0" collapsed="false">
      <c r="A734" s="160"/>
      <c r="B734" s="160"/>
      <c r="C734" s="160"/>
      <c r="D734" s="160"/>
      <c r="E734" s="160"/>
      <c r="F734" s="161"/>
      <c r="G734" s="161"/>
      <c r="H734" s="155" t="str">
        <f aca="false">IF(D734="Kaltwasser",G734-F734,"")</f>
        <v/>
      </c>
      <c r="I734" s="155" t="str">
        <f aca="false">IF(D734="Warmwasser",G734-F734,"")</f>
        <v/>
      </c>
      <c r="J734" s="156" t="str">
        <f aca="false">IF(D734="ista",G734,"")</f>
        <v/>
      </c>
    </row>
    <row r="735" customFormat="false" ht="13.5" hidden="false" customHeight="false" outlineLevel="0" collapsed="false">
      <c r="A735" s="160"/>
      <c r="B735" s="160"/>
      <c r="C735" s="160"/>
      <c r="D735" s="160"/>
      <c r="E735" s="160"/>
      <c r="F735" s="161"/>
      <c r="G735" s="161"/>
      <c r="H735" s="155" t="str">
        <f aca="false">IF(D735="Kaltwasser",G735-F735,"")</f>
        <v/>
      </c>
      <c r="I735" s="155" t="str">
        <f aca="false">IF(D735="Warmwasser",G735-F735,"")</f>
        <v/>
      </c>
      <c r="J735" s="156" t="str">
        <f aca="false">IF(D735="ista",G735,"")</f>
        <v/>
      </c>
    </row>
    <row r="736" customFormat="false" ht="13.5" hidden="false" customHeight="false" outlineLevel="0" collapsed="false">
      <c r="A736" s="160"/>
      <c r="B736" s="160"/>
      <c r="C736" s="160"/>
      <c r="D736" s="160"/>
      <c r="E736" s="160"/>
      <c r="F736" s="161"/>
      <c r="G736" s="161"/>
      <c r="H736" s="155" t="str">
        <f aca="false">IF(D736="Kaltwasser",G736-F736,"")</f>
        <v/>
      </c>
      <c r="I736" s="155" t="str">
        <f aca="false">IF(D736="Warmwasser",G736-F736,"")</f>
        <v/>
      </c>
      <c r="J736" s="156" t="str">
        <f aca="false">IF(D736="ista",G736,"")</f>
        <v/>
      </c>
    </row>
    <row r="737" customFormat="false" ht="13.5" hidden="false" customHeight="false" outlineLevel="0" collapsed="false">
      <c r="A737" s="160"/>
      <c r="B737" s="160"/>
      <c r="C737" s="160"/>
      <c r="D737" s="160"/>
      <c r="E737" s="160"/>
      <c r="F737" s="161"/>
      <c r="G737" s="161"/>
      <c r="H737" s="155" t="str">
        <f aca="false">IF(D737="Kaltwasser",G737-F737,"")</f>
        <v/>
      </c>
      <c r="I737" s="155" t="str">
        <f aca="false">IF(D737="Warmwasser",G737-F737,"")</f>
        <v/>
      </c>
      <c r="J737" s="156" t="str">
        <f aca="false">IF(D737="ista",G737,"")</f>
        <v/>
      </c>
    </row>
    <row r="738" customFormat="false" ht="13.5" hidden="false" customHeight="false" outlineLevel="0" collapsed="false">
      <c r="A738" s="160"/>
      <c r="B738" s="160"/>
      <c r="C738" s="160"/>
      <c r="D738" s="160"/>
      <c r="E738" s="160"/>
      <c r="F738" s="161"/>
      <c r="G738" s="161"/>
      <c r="H738" s="155" t="str">
        <f aca="false">IF(D738="Kaltwasser",G738-F738,"")</f>
        <v/>
      </c>
      <c r="I738" s="155" t="str">
        <f aca="false">IF(D738="Warmwasser",G738-F738,"")</f>
        <v/>
      </c>
      <c r="J738" s="156" t="str">
        <f aca="false">IF(D738="ista",G738,"")</f>
        <v/>
      </c>
    </row>
    <row r="739" customFormat="false" ht="13.5" hidden="false" customHeight="false" outlineLevel="0" collapsed="false">
      <c r="A739" s="160"/>
      <c r="B739" s="160"/>
      <c r="C739" s="160"/>
      <c r="D739" s="160"/>
      <c r="E739" s="160"/>
      <c r="F739" s="161"/>
      <c r="G739" s="161"/>
      <c r="H739" s="155" t="str">
        <f aca="false">IF(D739="Kaltwasser",G739-F739,"")</f>
        <v/>
      </c>
      <c r="I739" s="155" t="str">
        <f aca="false">IF(D739="Warmwasser",G739-F739,"")</f>
        <v/>
      </c>
      <c r="J739" s="156" t="str">
        <f aca="false">IF(D739="ista",G739,"")</f>
        <v/>
      </c>
    </row>
    <row r="740" customFormat="false" ht="13.5" hidden="false" customHeight="false" outlineLevel="0" collapsed="false">
      <c r="A740" s="160"/>
      <c r="B740" s="160"/>
      <c r="C740" s="160"/>
      <c r="D740" s="160"/>
      <c r="E740" s="160"/>
      <c r="F740" s="161"/>
      <c r="G740" s="161"/>
      <c r="H740" s="155" t="str">
        <f aca="false">IF(D740="Kaltwasser",G740-F740,"")</f>
        <v/>
      </c>
      <c r="I740" s="155" t="str">
        <f aca="false">IF(D740="Warmwasser",G740-F740,"")</f>
        <v/>
      </c>
      <c r="J740" s="156" t="str">
        <f aca="false">IF(D740="ista",G740,"")</f>
        <v/>
      </c>
    </row>
    <row r="741" customFormat="false" ht="13.5" hidden="false" customHeight="false" outlineLevel="0" collapsed="false">
      <c r="A741" s="160"/>
      <c r="B741" s="160"/>
      <c r="C741" s="160"/>
      <c r="D741" s="160"/>
      <c r="E741" s="160"/>
      <c r="F741" s="161"/>
      <c r="G741" s="161"/>
      <c r="H741" s="155" t="str">
        <f aca="false">IF(D741="Kaltwasser",G741-F741,"")</f>
        <v/>
      </c>
      <c r="I741" s="155" t="str">
        <f aca="false">IF(D741="Warmwasser",G741-F741,"")</f>
        <v/>
      </c>
      <c r="J741" s="156" t="str">
        <f aca="false">IF(D741="ista",G741,"")</f>
        <v/>
      </c>
    </row>
    <row r="742" customFormat="false" ht="13.5" hidden="false" customHeight="false" outlineLevel="0" collapsed="false">
      <c r="A742" s="160"/>
      <c r="B742" s="160"/>
      <c r="C742" s="160"/>
      <c r="D742" s="160"/>
      <c r="E742" s="160"/>
      <c r="F742" s="161"/>
      <c r="G742" s="161"/>
      <c r="H742" s="155" t="str">
        <f aca="false">IF(D742="Kaltwasser",G742-F742,"")</f>
        <v/>
      </c>
      <c r="I742" s="155" t="str">
        <f aca="false">IF(D742="Warmwasser",G742-F742,"")</f>
        <v/>
      </c>
      <c r="J742" s="156" t="str">
        <f aca="false">IF(D742="ista",G742,"")</f>
        <v/>
      </c>
    </row>
    <row r="743" customFormat="false" ht="13.5" hidden="false" customHeight="false" outlineLevel="0" collapsed="false">
      <c r="A743" s="160"/>
      <c r="B743" s="160"/>
      <c r="C743" s="160"/>
      <c r="D743" s="160"/>
      <c r="E743" s="160"/>
      <c r="F743" s="161"/>
      <c r="G743" s="161"/>
      <c r="H743" s="155" t="str">
        <f aca="false">IF(D743="Kaltwasser",G743-F743,"")</f>
        <v/>
      </c>
      <c r="I743" s="155" t="str">
        <f aca="false">IF(D743="Warmwasser",G743-F743,"")</f>
        <v/>
      </c>
      <c r="J743" s="156" t="str">
        <f aca="false">IF(D743="ista",G743,"")</f>
        <v/>
      </c>
    </row>
    <row r="744" customFormat="false" ht="13.5" hidden="false" customHeight="false" outlineLevel="0" collapsed="false">
      <c r="A744" s="160"/>
      <c r="B744" s="160"/>
      <c r="C744" s="160"/>
      <c r="D744" s="160"/>
      <c r="E744" s="160"/>
      <c r="F744" s="161"/>
      <c r="G744" s="161"/>
      <c r="H744" s="155" t="str">
        <f aca="false">IF(D744="Kaltwasser",G744-F744,"")</f>
        <v/>
      </c>
      <c r="I744" s="155" t="str">
        <f aca="false">IF(D744="Warmwasser",G744-F744,"")</f>
        <v/>
      </c>
      <c r="J744" s="156" t="str">
        <f aca="false">IF(D744="ista",G744,"")</f>
        <v/>
      </c>
    </row>
    <row r="745" customFormat="false" ht="13.5" hidden="false" customHeight="false" outlineLevel="0" collapsed="false">
      <c r="A745" s="160"/>
      <c r="B745" s="160"/>
      <c r="C745" s="160"/>
      <c r="D745" s="160"/>
      <c r="E745" s="160"/>
      <c r="F745" s="161"/>
      <c r="G745" s="161"/>
      <c r="H745" s="155" t="str">
        <f aca="false">IF(D745="Kaltwasser",G745-F745,"")</f>
        <v/>
      </c>
      <c r="I745" s="155" t="str">
        <f aca="false">IF(D745="Warmwasser",G745-F745,"")</f>
        <v/>
      </c>
      <c r="J745" s="156" t="str">
        <f aca="false">IF(D745="ista",G745,"")</f>
        <v/>
      </c>
    </row>
    <row r="746" customFormat="false" ht="13.5" hidden="false" customHeight="false" outlineLevel="0" collapsed="false">
      <c r="A746" s="160"/>
      <c r="B746" s="160"/>
      <c r="C746" s="160"/>
      <c r="D746" s="160"/>
      <c r="E746" s="160"/>
      <c r="F746" s="161"/>
      <c r="G746" s="161"/>
      <c r="H746" s="155" t="str">
        <f aca="false">IF(D746="Kaltwasser",G746-F746,"")</f>
        <v/>
      </c>
      <c r="I746" s="155" t="str">
        <f aca="false">IF(D746="Warmwasser",G746-F746,"")</f>
        <v/>
      </c>
      <c r="J746" s="156" t="str">
        <f aca="false">IF(D746="ista",G746,"")</f>
        <v/>
      </c>
    </row>
    <row r="747" customFormat="false" ht="13.5" hidden="false" customHeight="false" outlineLevel="0" collapsed="false">
      <c r="A747" s="160"/>
      <c r="B747" s="160"/>
      <c r="C747" s="160"/>
      <c r="D747" s="160"/>
      <c r="E747" s="160"/>
      <c r="F747" s="161"/>
      <c r="G747" s="161"/>
      <c r="H747" s="155" t="str">
        <f aca="false">IF(D747="Kaltwasser",G747-F747,"")</f>
        <v/>
      </c>
      <c r="I747" s="155" t="str">
        <f aca="false">IF(D747="Warmwasser",G747-F747,"")</f>
        <v/>
      </c>
      <c r="J747" s="156" t="str">
        <f aca="false">IF(D747="ista",G747,"")</f>
        <v/>
      </c>
    </row>
    <row r="748" customFormat="false" ht="13.5" hidden="false" customHeight="false" outlineLevel="0" collapsed="false">
      <c r="A748" s="160"/>
      <c r="B748" s="160"/>
      <c r="C748" s="160"/>
      <c r="D748" s="160"/>
      <c r="E748" s="160"/>
      <c r="F748" s="161"/>
      <c r="G748" s="161"/>
      <c r="H748" s="155" t="str">
        <f aca="false">IF(D748="Kaltwasser",G748-F748,"")</f>
        <v/>
      </c>
      <c r="I748" s="155" t="str">
        <f aca="false">IF(D748="Warmwasser",G748-F748,"")</f>
        <v/>
      </c>
      <c r="J748" s="156" t="str">
        <f aca="false">IF(D748="ista",G748,"")</f>
        <v/>
      </c>
    </row>
    <row r="749" customFormat="false" ht="13.5" hidden="false" customHeight="false" outlineLevel="0" collapsed="false">
      <c r="A749" s="160"/>
      <c r="B749" s="160"/>
      <c r="C749" s="160"/>
      <c r="D749" s="160"/>
      <c r="E749" s="160"/>
      <c r="F749" s="161"/>
      <c r="G749" s="161"/>
      <c r="H749" s="155" t="str">
        <f aca="false">IF(D749="Kaltwasser",G749-F749,"")</f>
        <v/>
      </c>
      <c r="I749" s="155" t="str">
        <f aca="false">IF(D749="Warmwasser",G749-F749,"")</f>
        <v/>
      </c>
      <c r="J749" s="156" t="str">
        <f aca="false">IF(D749="ista",G749,"")</f>
        <v/>
      </c>
    </row>
    <row r="750" customFormat="false" ht="13.5" hidden="false" customHeight="false" outlineLevel="0" collapsed="false">
      <c r="A750" s="160"/>
      <c r="B750" s="160"/>
      <c r="C750" s="160"/>
      <c r="D750" s="160"/>
      <c r="E750" s="160"/>
      <c r="F750" s="161"/>
      <c r="G750" s="161"/>
      <c r="H750" s="155" t="str">
        <f aca="false">IF(D750="Kaltwasser",G750-F750,"")</f>
        <v/>
      </c>
      <c r="I750" s="155" t="str">
        <f aca="false">IF(D750="Warmwasser",G750-F750,"")</f>
        <v/>
      </c>
      <c r="J750" s="156" t="str">
        <f aca="false">IF(D750="ista",G750,"")</f>
        <v/>
      </c>
    </row>
    <row r="751" customFormat="false" ht="13.5" hidden="false" customHeight="false" outlineLevel="0" collapsed="false">
      <c r="A751" s="160"/>
      <c r="B751" s="160"/>
      <c r="C751" s="160"/>
      <c r="D751" s="160"/>
      <c r="E751" s="160"/>
      <c r="F751" s="161"/>
      <c r="G751" s="161"/>
      <c r="H751" s="155" t="str">
        <f aca="false">IF(D751="Kaltwasser",G751-F751,"")</f>
        <v/>
      </c>
      <c r="I751" s="155" t="str">
        <f aca="false">IF(D751="Warmwasser",G751-F751,"")</f>
        <v/>
      </c>
      <c r="J751" s="156" t="str">
        <f aca="false">IF(D751="ista",G751,"")</f>
        <v/>
      </c>
    </row>
    <row r="752" customFormat="false" ht="13.5" hidden="false" customHeight="false" outlineLevel="0" collapsed="false">
      <c r="A752" s="160"/>
      <c r="B752" s="160"/>
      <c r="C752" s="160"/>
      <c r="D752" s="160"/>
      <c r="E752" s="160"/>
      <c r="F752" s="161"/>
      <c r="G752" s="161"/>
      <c r="H752" s="155" t="str">
        <f aca="false">IF(D752="Kaltwasser",G752-F752,"")</f>
        <v/>
      </c>
      <c r="I752" s="155" t="str">
        <f aca="false">IF(D752="Warmwasser",G752-F752,"")</f>
        <v/>
      </c>
      <c r="J752" s="156" t="str">
        <f aca="false">IF(D752="ista",G752,"")</f>
        <v/>
      </c>
    </row>
    <row r="753" customFormat="false" ht="13.5" hidden="false" customHeight="false" outlineLevel="0" collapsed="false">
      <c r="A753" s="160"/>
      <c r="B753" s="160"/>
      <c r="C753" s="160"/>
      <c r="D753" s="160"/>
      <c r="E753" s="160"/>
      <c r="F753" s="161"/>
      <c r="G753" s="161"/>
      <c r="H753" s="155" t="str">
        <f aca="false">IF(D753="Kaltwasser",G753-F753,"")</f>
        <v/>
      </c>
      <c r="I753" s="155" t="str">
        <f aca="false">IF(D753="Warmwasser",G753-F753,"")</f>
        <v/>
      </c>
      <c r="J753" s="156" t="str">
        <f aca="false">IF(D753="ista",G753,"")</f>
        <v/>
      </c>
    </row>
    <row r="754" customFormat="false" ht="13.5" hidden="false" customHeight="false" outlineLevel="0" collapsed="false">
      <c r="A754" s="160"/>
      <c r="B754" s="160"/>
      <c r="C754" s="160"/>
      <c r="D754" s="160"/>
      <c r="E754" s="160"/>
      <c r="F754" s="161"/>
      <c r="G754" s="161"/>
      <c r="H754" s="155" t="str">
        <f aca="false">IF(D754="Kaltwasser",G754-F754,"")</f>
        <v/>
      </c>
      <c r="I754" s="155" t="str">
        <f aca="false">IF(D754="Warmwasser",G754-F754,"")</f>
        <v/>
      </c>
      <c r="J754" s="156" t="str">
        <f aca="false">IF(D754="ista",G754,"")</f>
        <v/>
      </c>
    </row>
    <row r="755" customFormat="false" ht="13.5" hidden="false" customHeight="false" outlineLevel="0" collapsed="false">
      <c r="A755" s="160"/>
      <c r="B755" s="160"/>
      <c r="C755" s="160"/>
      <c r="D755" s="160"/>
      <c r="E755" s="160"/>
      <c r="F755" s="161"/>
      <c r="G755" s="161"/>
      <c r="H755" s="155" t="str">
        <f aca="false">IF(D755="Kaltwasser",G755-F755,"")</f>
        <v/>
      </c>
      <c r="I755" s="155" t="str">
        <f aca="false">IF(D755="Warmwasser",G755-F755,"")</f>
        <v/>
      </c>
      <c r="J755" s="156" t="str">
        <f aca="false">IF(D755="ista",G755,"")</f>
        <v/>
      </c>
    </row>
    <row r="756" customFormat="false" ht="13.5" hidden="false" customHeight="false" outlineLevel="0" collapsed="false">
      <c r="A756" s="160"/>
      <c r="B756" s="160"/>
      <c r="C756" s="160"/>
      <c r="D756" s="160"/>
      <c r="E756" s="160"/>
      <c r="F756" s="161"/>
      <c r="G756" s="161"/>
      <c r="H756" s="155" t="str">
        <f aca="false">IF(D756="Kaltwasser",G756-F756,"")</f>
        <v/>
      </c>
      <c r="I756" s="155" t="str">
        <f aca="false">IF(D756="Warmwasser",G756-F756,"")</f>
        <v/>
      </c>
      <c r="J756" s="156" t="str">
        <f aca="false">IF(D756="ista",G756,"")</f>
        <v/>
      </c>
    </row>
    <row r="757" customFormat="false" ht="13.5" hidden="false" customHeight="false" outlineLevel="0" collapsed="false">
      <c r="A757" s="160"/>
      <c r="B757" s="160"/>
      <c r="C757" s="160"/>
      <c r="D757" s="160"/>
      <c r="E757" s="160"/>
      <c r="F757" s="161"/>
      <c r="G757" s="161"/>
      <c r="H757" s="155" t="str">
        <f aca="false">IF(D757="Kaltwasser",G757-F757,"")</f>
        <v/>
      </c>
      <c r="I757" s="155" t="str">
        <f aca="false">IF(D757="Warmwasser",G757-F757,"")</f>
        <v/>
      </c>
      <c r="J757" s="156" t="str">
        <f aca="false">IF(D757="ista",G757,"")</f>
        <v/>
      </c>
    </row>
    <row r="758" customFormat="false" ht="13.5" hidden="false" customHeight="false" outlineLevel="0" collapsed="false">
      <c r="A758" s="160"/>
      <c r="B758" s="160"/>
      <c r="C758" s="160"/>
      <c r="D758" s="160"/>
      <c r="E758" s="160"/>
      <c r="F758" s="161"/>
      <c r="G758" s="161"/>
      <c r="H758" s="155" t="str">
        <f aca="false">IF(D758="Kaltwasser",G758-F758,"")</f>
        <v/>
      </c>
      <c r="I758" s="155" t="str">
        <f aca="false">IF(D758="Warmwasser",G758-F758,"")</f>
        <v/>
      </c>
      <c r="J758" s="156" t="str">
        <f aca="false">IF(D758="ista",G758,"")</f>
        <v/>
      </c>
    </row>
    <row r="759" customFormat="false" ht="13.5" hidden="false" customHeight="false" outlineLevel="0" collapsed="false">
      <c r="A759" s="160"/>
      <c r="B759" s="160"/>
      <c r="C759" s="160"/>
      <c r="D759" s="160"/>
      <c r="E759" s="160"/>
      <c r="F759" s="161"/>
      <c r="G759" s="161"/>
      <c r="H759" s="155" t="str">
        <f aca="false">IF(D759="Kaltwasser",G759-F759,"")</f>
        <v/>
      </c>
      <c r="I759" s="155" t="str">
        <f aca="false">IF(D759="Warmwasser",G759-F759,"")</f>
        <v/>
      </c>
      <c r="J759" s="156" t="str">
        <f aca="false">IF(D759="ista",G759,"")</f>
        <v/>
      </c>
    </row>
    <row r="760" customFormat="false" ht="13.5" hidden="false" customHeight="false" outlineLevel="0" collapsed="false">
      <c r="A760" s="160"/>
      <c r="B760" s="160"/>
      <c r="C760" s="160"/>
      <c r="D760" s="160"/>
      <c r="E760" s="160"/>
      <c r="F760" s="161"/>
      <c r="G760" s="161"/>
      <c r="H760" s="155" t="str">
        <f aca="false">IF(D760="Kaltwasser",G760-F760,"")</f>
        <v/>
      </c>
      <c r="I760" s="155" t="str">
        <f aca="false">IF(D760="Warmwasser",G760-F760,"")</f>
        <v/>
      </c>
      <c r="J760" s="156" t="str">
        <f aca="false">IF(D760="ista",G760,"")</f>
        <v/>
      </c>
    </row>
    <row r="761" customFormat="false" ht="13.5" hidden="false" customHeight="false" outlineLevel="0" collapsed="false">
      <c r="A761" s="160"/>
      <c r="B761" s="160"/>
      <c r="C761" s="160"/>
      <c r="D761" s="160"/>
      <c r="E761" s="160"/>
      <c r="F761" s="161"/>
      <c r="G761" s="161"/>
      <c r="H761" s="155" t="str">
        <f aca="false">IF(D761="Kaltwasser",G761-F761,"")</f>
        <v/>
      </c>
      <c r="I761" s="155" t="str">
        <f aca="false">IF(D761="Warmwasser",G761-F761,"")</f>
        <v/>
      </c>
      <c r="J761" s="156" t="str">
        <f aca="false">IF(D761="ista",G761,"")</f>
        <v/>
      </c>
    </row>
    <row r="762" customFormat="false" ht="13.5" hidden="false" customHeight="false" outlineLevel="0" collapsed="false">
      <c r="A762" s="160"/>
      <c r="B762" s="160"/>
      <c r="C762" s="160"/>
      <c r="D762" s="160"/>
      <c r="E762" s="160"/>
      <c r="F762" s="161"/>
      <c r="G762" s="161"/>
      <c r="H762" s="155" t="str">
        <f aca="false">IF(D762="Kaltwasser",G762-F762,"")</f>
        <v/>
      </c>
      <c r="I762" s="155" t="str">
        <f aca="false">IF(D762="Warmwasser",G762-F762,"")</f>
        <v/>
      </c>
      <c r="J762" s="156" t="str">
        <f aca="false">IF(D762="ista",G762,"")</f>
        <v/>
      </c>
    </row>
    <row r="763" customFormat="false" ht="13.5" hidden="false" customHeight="false" outlineLevel="0" collapsed="false">
      <c r="A763" s="160"/>
      <c r="B763" s="160"/>
      <c r="C763" s="160"/>
      <c r="D763" s="160"/>
      <c r="E763" s="160"/>
      <c r="F763" s="161"/>
      <c r="G763" s="161"/>
      <c r="H763" s="155" t="str">
        <f aca="false">IF(D763="Kaltwasser",G763-F763,"")</f>
        <v/>
      </c>
      <c r="I763" s="155" t="str">
        <f aca="false">IF(D763="Warmwasser",G763-F763,"")</f>
        <v/>
      </c>
      <c r="J763" s="156" t="str">
        <f aca="false">IF(D763="ista",G763,"")</f>
        <v/>
      </c>
    </row>
    <row r="764" customFormat="false" ht="13.5" hidden="false" customHeight="false" outlineLevel="0" collapsed="false">
      <c r="A764" s="160"/>
      <c r="B764" s="160"/>
      <c r="C764" s="160"/>
      <c r="D764" s="160"/>
      <c r="E764" s="160"/>
      <c r="F764" s="161"/>
      <c r="G764" s="161"/>
      <c r="H764" s="155" t="str">
        <f aca="false">IF(D764="Kaltwasser",G764-F764,"")</f>
        <v/>
      </c>
      <c r="I764" s="155" t="str">
        <f aca="false">IF(D764="Warmwasser",G764-F764,"")</f>
        <v/>
      </c>
      <c r="J764" s="156" t="str">
        <f aca="false">IF(D764="ista",G764,"")</f>
        <v/>
      </c>
    </row>
    <row r="765" customFormat="false" ht="13.5" hidden="false" customHeight="false" outlineLevel="0" collapsed="false">
      <c r="A765" s="160"/>
      <c r="B765" s="160"/>
      <c r="C765" s="160"/>
      <c r="D765" s="160"/>
      <c r="E765" s="160"/>
      <c r="F765" s="161"/>
      <c r="G765" s="161"/>
      <c r="H765" s="155" t="str">
        <f aca="false">IF(D765="Kaltwasser",G765-F765,"")</f>
        <v/>
      </c>
      <c r="I765" s="155" t="str">
        <f aca="false">IF(D765="Warmwasser",G765-F765,"")</f>
        <v/>
      </c>
      <c r="J765" s="156" t="str">
        <f aca="false">IF(D765="ista",G765,"")</f>
        <v/>
      </c>
    </row>
    <row r="766" customFormat="false" ht="13.5" hidden="false" customHeight="false" outlineLevel="0" collapsed="false">
      <c r="A766" s="160"/>
      <c r="B766" s="160"/>
      <c r="C766" s="160"/>
      <c r="D766" s="160"/>
      <c r="E766" s="160"/>
      <c r="F766" s="161"/>
      <c r="G766" s="161"/>
      <c r="H766" s="155" t="str">
        <f aca="false">IF(D766="Kaltwasser",G766-F766,"")</f>
        <v/>
      </c>
      <c r="I766" s="155" t="str">
        <f aca="false">IF(D766="Warmwasser",G766-F766,"")</f>
        <v/>
      </c>
      <c r="J766" s="156" t="str">
        <f aca="false">IF(D766="ista",G766,"")</f>
        <v/>
      </c>
    </row>
    <row r="767" customFormat="false" ht="13.5" hidden="false" customHeight="false" outlineLevel="0" collapsed="false">
      <c r="A767" s="160"/>
      <c r="B767" s="160"/>
      <c r="C767" s="160"/>
      <c r="D767" s="160"/>
      <c r="E767" s="160"/>
      <c r="F767" s="161"/>
      <c r="G767" s="161"/>
      <c r="H767" s="155" t="str">
        <f aca="false">IF(D767="Kaltwasser",G767-F767,"")</f>
        <v/>
      </c>
      <c r="I767" s="155" t="str">
        <f aca="false">IF(D767="Warmwasser",G767-F767,"")</f>
        <v/>
      </c>
      <c r="J767" s="156" t="str">
        <f aca="false">IF(D767="ista",G767,"")</f>
        <v/>
      </c>
    </row>
    <row r="768" customFormat="false" ht="13.5" hidden="false" customHeight="false" outlineLevel="0" collapsed="false">
      <c r="A768" s="160"/>
      <c r="B768" s="160"/>
      <c r="C768" s="160"/>
      <c r="D768" s="160"/>
      <c r="E768" s="160"/>
      <c r="F768" s="161"/>
      <c r="G768" s="161"/>
      <c r="H768" s="155" t="str">
        <f aca="false">IF(D768="Kaltwasser",G768-F768,"")</f>
        <v/>
      </c>
      <c r="I768" s="155" t="str">
        <f aca="false">IF(D768="Warmwasser",G768-F768,"")</f>
        <v/>
      </c>
      <c r="J768" s="156" t="str">
        <f aca="false">IF(D768="ista",G768,"")</f>
        <v/>
      </c>
    </row>
    <row r="769" customFormat="false" ht="13.5" hidden="false" customHeight="false" outlineLevel="0" collapsed="false">
      <c r="A769" s="160"/>
      <c r="B769" s="160"/>
      <c r="C769" s="160"/>
      <c r="D769" s="160"/>
      <c r="E769" s="160"/>
      <c r="F769" s="161"/>
      <c r="G769" s="161"/>
      <c r="H769" s="155" t="str">
        <f aca="false">IF(D769="Kaltwasser",G769-F769,"")</f>
        <v/>
      </c>
      <c r="I769" s="155" t="str">
        <f aca="false">IF(D769="Warmwasser",G769-F769,"")</f>
        <v/>
      </c>
      <c r="J769" s="156" t="str">
        <f aca="false">IF(D769="ista",G769,"")</f>
        <v/>
      </c>
    </row>
    <row r="770" customFormat="false" ht="13.5" hidden="false" customHeight="false" outlineLevel="0" collapsed="false">
      <c r="A770" s="160"/>
      <c r="B770" s="160"/>
      <c r="C770" s="160"/>
      <c r="D770" s="160"/>
      <c r="E770" s="160"/>
      <c r="F770" s="161"/>
      <c r="G770" s="161"/>
      <c r="H770" s="155" t="str">
        <f aca="false">IF(D770="Kaltwasser",G770-F770,"")</f>
        <v/>
      </c>
      <c r="I770" s="155" t="str">
        <f aca="false">IF(D770="Warmwasser",G770-F770,"")</f>
        <v/>
      </c>
      <c r="J770" s="156" t="str">
        <f aca="false">IF(D770="ista",G770,"")</f>
        <v/>
      </c>
    </row>
    <row r="771" customFormat="false" ht="13.5" hidden="false" customHeight="false" outlineLevel="0" collapsed="false">
      <c r="A771" s="160"/>
      <c r="B771" s="160"/>
      <c r="C771" s="160"/>
      <c r="D771" s="160"/>
      <c r="E771" s="160"/>
      <c r="F771" s="161"/>
      <c r="G771" s="161"/>
      <c r="H771" s="155" t="str">
        <f aca="false">IF(D771="Kaltwasser",G771-F771,"")</f>
        <v/>
      </c>
      <c r="I771" s="155" t="str">
        <f aca="false">IF(D771="Warmwasser",G771-F771,"")</f>
        <v/>
      </c>
      <c r="J771" s="156" t="str">
        <f aca="false">IF(D771="ista",G771,"")</f>
        <v/>
      </c>
    </row>
    <row r="772" customFormat="false" ht="13.5" hidden="false" customHeight="false" outlineLevel="0" collapsed="false">
      <c r="A772" s="160"/>
      <c r="B772" s="160"/>
      <c r="C772" s="160"/>
      <c r="D772" s="160"/>
      <c r="E772" s="160"/>
      <c r="F772" s="161"/>
      <c r="G772" s="161"/>
      <c r="H772" s="155" t="str">
        <f aca="false">IF(D772="Kaltwasser",G772-F772,"")</f>
        <v/>
      </c>
      <c r="I772" s="155" t="str">
        <f aca="false">IF(D772="Warmwasser",G772-F772,"")</f>
        <v/>
      </c>
      <c r="J772" s="156" t="str">
        <f aca="false">IF(D772="ista",G772,"")</f>
        <v/>
      </c>
    </row>
    <row r="773" customFormat="false" ht="13.5" hidden="false" customHeight="false" outlineLevel="0" collapsed="false">
      <c r="A773" s="160"/>
      <c r="B773" s="160"/>
      <c r="C773" s="160"/>
      <c r="D773" s="160"/>
      <c r="E773" s="160"/>
      <c r="F773" s="161"/>
      <c r="G773" s="161"/>
      <c r="H773" s="155" t="str">
        <f aca="false">IF(D773="Kaltwasser",G773-F773,"")</f>
        <v/>
      </c>
      <c r="I773" s="155" t="str">
        <f aca="false">IF(D773="Warmwasser",G773-F773,"")</f>
        <v/>
      </c>
      <c r="J773" s="156" t="str">
        <f aca="false">IF(D773="ista",G773,"")</f>
        <v/>
      </c>
    </row>
    <row r="774" customFormat="false" ht="13.5" hidden="false" customHeight="false" outlineLevel="0" collapsed="false">
      <c r="A774" s="160"/>
      <c r="B774" s="160"/>
      <c r="C774" s="160"/>
      <c r="D774" s="160"/>
      <c r="E774" s="160"/>
      <c r="F774" s="161"/>
      <c r="G774" s="161"/>
      <c r="H774" s="155" t="str">
        <f aca="false">IF(D774="Kaltwasser",G774-F774,"")</f>
        <v/>
      </c>
      <c r="I774" s="155" t="str">
        <f aca="false">IF(D774="Warmwasser",G774-F774,"")</f>
        <v/>
      </c>
      <c r="J774" s="156" t="str">
        <f aca="false">IF(D774="ista",G774,"")</f>
        <v/>
      </c>
    </row>
    <row r="775" customFormat="false" ht="13.5" hidden="false" customHeight="false" outlineLevel="0" collapsed="false">
      <c r="A775" s="160"/>
      <c r="B775" s="160"/>
      <c r="C775" s="160"/>
      <c r="D775" s="160"/>
      <c r="E775" s="160"/>
      <c r="F775" s="161"/>
      <c r="G775" s="161"/>
      <c r="H775" s="155" t="str">
        <f aca="false">IF(D775="Kaltwasser",G775-F775,"")</f>
        <v/>
      </c>
      <c r="I775" s="155" t="str">
        <f aca="false">IF(D775="Warmwasser",G775-F775,"")</f>
        <v/>
      </c>
      <c r="J775" s="156" t="str">
        <f aca="false">IF(D775="ista",G775,"")</f>
        <v/>
      </c>
    </row>
    <row r="776" customFormat="false" ht="13.5" hidden="false" customHeight="false" outlineLevel="0" collapsed="false">
      <c r="A776" s="160"/>
      <c r="B776" s="160"/>
      <c r="C776" s="160"/>
      <c r="D776" s="160"/>
      <c r="E776" s="160"/>
      <c r="F776" s="161"/>
      <c r="G776" s="161"/>
      <c r="H776" s="155" t="str">
        <f aca="false">IF(D776="Kaltwasser",G776-F776,"")</f>
        <v/>
      </c>
      <c r="I776" s="155" t="str">
        <f aca="false">IF(D776="Warmwasser",G776-F776,"")</f>
        <v/>
      </c>
      <c r="J776" s="156" t="str">
        <f aca="false">IF(D776="ista",G776,"")</f>
        <v/>
      </c>
    </row>
    <row r="777" customFormat="false" ht="13.5" hidden="false" customHeight="false" outlineLevel="0" collapsed="false">
      <c r="A777" s="160"/>
      <c r="B777" s="160"/>
      <c r="C777" s="160"/>
      <c r="D777" s="160"/>
      <c r="E777" s="160"/>
      <c r="F777" s="161"/>
      <c r="G777" s="161"/>
      <c r="H777" s="155" t="str">
        <f aca="false">IF(D777="Kaltwasser",G777-F777,"")</f>
        <v/>
      </c>
      <c r="I777" s="155" t="str">
        <f aca="false">IF(D777="Warmwasser",G777-F777,"")</f>
        <v/>
      </c>
      <c r="J777" s="156" t="str">
        <f aca="false">IF(D777="ista",G777,"")</f>
        <v/>
      </c>
    </row>
    <row r="778" customFormat="false" ht="13.5" hidden="false" customHeight="false" outlineLevel="0" collapsed="false">
      <c r="A778" s="160"/>
      <c r="B778" s="160"/>
      <c r="C778" s="160"/>
      <c r="D778" s="160"/>
      <c r="E778" s="160"/>
      <c r="F778" s="161"/>
      <c r="G778" s="161"/>
      <c r="H778" s="155" t="str">
        <f aca="false">IF(D778="Kaltwasser",G778-F778,"")</f>
        <v/>
      </c>
      <c r="I778" s="155" t="str">
        <f aca="false">IF(D778="Warmwasser",G778-F778,"")</f>
        <v/>
      </c>
      <c r="J778" s="156" t="str">
        <f aca="false">IF(D778="ista",G778,"")</f>
        <v/>
      </c>
    </row>
    <row r="779" customFormat="false" ht="13.5" hidden="false" customHeight="false" outlineLevel="0" collapsed="false">
      <c r="A779" s="160"/>
      <c r="B779" s="160"/>
      <c r="C779" s="160"/>
      <c r="D779" s="160"/>
      <c r="E779" s="160"/>
      <c r="F779" s="161"/>
      <c r="G779" s="161"/>
      <c r="H779" s="155" t="str">
        <f aca="false">IF(D779="Kaltwasser",G779-F779,"")</f>
        <v/>
      </c>
      <c r="I779" s="155" t="str">
        <f aca="false">IF(D779="Warmwasser",G779-F779,"")</f>
        <v/>
      </c>
      <c r="J779" s="156" t="str">
        <f aca="false">IF(D779="ista",G779,"")</f>
        <v/>
      </c>
    </row>
    <row r="780" customFormat="false" ht="13.5" hidden="false" customHeight="false" outlineLevel="0" collapsed="false">
      <c r="A780" s="160"/>
      <c r="B780" s="160"/>
      <c r="C780" s="160"/>
      <c r="D780" s="160"/>
      <c r="E780" s="160"/>
      <c r="F780" s="161"/>
      <c r="G780" s="161"/>
      <c r="H780" s="155" t="str">
        <f aca="false">IF(D780="Kaltwasser",G780-F780,"")</f>
        <v/>
      </c>
      <c r="I780" s="155" t="str">
        <f aca="false">IF(D780="Warmwasser",G780-F780,"")</f>
        <v/>
      </c>
      <c r="J780" s="156" t="str">
        <f aca="false">IF(D780="ista",G780,"")</f>
        <v/>
      </c>
    </row>
    <row r="781" customFormat="false" ht="13.5" hidden="false" customHeight="false" outlineLevel="0" collapsed="false">
      <c r="A781" s="160"/>
      <c r="B781" s="160"/>
      <c r="C781" s="160"/>
      <c r="D781" s="160"/>
      <c r="E781" s="160"/>
      <c r="F781" s="161"/>
      <c r="G781" s="161"/>
      <c r="H781" s="155" t="str">
        <f aca="false">IF(D781="Kaltwasser",G781-F781,"")</f>
        <v/>
      </c>
      <c r="I781" s="155" t="str">
        <f aca="false">IF(D781="Warmwasser",G781-F781,"")</f>
        <v/>
      </c>
      <c r="J781" s="156" t="str">
        <f aca="false">IF(D781="ista",G781,"")</f>
        <v/>
      </c>
    </row>
    <row r="782" customFormat="false" ht="13.5" hidden="false" customHeight="false" outlineLevel="0" collapsed="false">
      <c r="A782" s="160"/>
      <c r="B782" s="160"/>
      <c r="C782" s="160"/>
      <c r="D782" s="160"/>
      <c r="E782" s="160"/>
      <c r="F782" s="161"/>
      <c r="G782" s="161"/>
      <c r="H782" s="155" t="str">
        <f aca="false">IF(D782="Kaltwasser",G782-F782,"")</f>
        <v/>
      </c>
      <c r="I782" s="155" t="str">
        <f aca="false">IF(D782="Warmwasser",G782-F782,"")</f>
        <v/>
      </c>
      <c r="J782" s="156" t="str">
        <f aca="false">IF(D782="ista",G782,"")</f>
        <v/>
      </c>
    </row>
    <row r="783" customFormat="false" ht="13.5" hidden="false" customHeight="false" outlineLevel="0" collapsed="false">
      <c r="A783" s="160"/>
      <c r="B783" s="160"/>
      <c r="C783" s="160"/>
      <c r="D783" s="160"/>
      <c r="E783" s="160"/>
      <c r="F783" s="161"/>
      <c r="G783" s="161"/>
      <c r="H783" s="155" t="str">
        <f aca="false">IF(D783="Kaltwasser",G783-F783,"")</f>
        <v/>
      </c>
      <c r="I783" s="155" t="str">
        <f aca="false">IF(D783="Warmwasser",G783-F783,"")</f>
        <v/>
      </c>
      <c r="J783" s="156" t="str">
        <f aca="false">IF(D783="ista",G783,"")</f>
        <v/>
      </c>
    </row>
    <row r="784" customFormat="false" ht="13.5" hidden="false" customHeight="false" outlineLevel="0" collapsed="false">
      <c r="A784" s="160"/>
      <c r="B784" s="160"/>
      <c r="C784" s="160"/>
      <c r="D784" s="160"/>
      <c r="E784" s="160"/>
      <c r="F784" s="161"/>
      <c r="G784" s="161"/>
      <c r="H784" s="155" t="str">
        <f aca="false">IF(D784="Kaltwasser",G784-F784,"")</f>
        <v/>
      </c>
      <c r="I784" s="155" t="str">
        <f aca="false">IF(D784="Warmwasser",G784-F784,"")</f>
        <v/>
      </c>
      <c r="J784" s="156" t="str">
        <f aca="false">IF(D784="ista",G784,"")</f>
        <v/>
      </c>
    </row>
    <row r="785" customFormat="false" ht="13.5" hidden="false" customHeight="false" outlineLevel="0" collapsed="false">
      <c r="A785" s="160"/>
      <c r="B785" s="160"/>
      <c r="C785" s="160"/>
      <c r="D785" s="160"/>
      <c r="E785" s="160"/>
      <c r="F785" s="161"/>
      <c r="G785" s="161"/>
      <c r="H785" s="155" t="str">
        <f aca="false">IF(D785="Kaltwasser",G785-F785,"")</f>
        <v/>
      </c>
      <c r="I785" s="155" t="str">
        <f aca="false">IF(D785="Warmwasser",G785-F785,"")</f>
        <v/>
      </c>
      <c r="J785" s="156" t="str">
        <f aca="false">IF(D785="ista",G785,"")</f>
        <v/>
      </c>
    </row>
    <row r="786" customFormat="false" ht="13.5" hidden="false" customHeight="false" outlineLevel="0" collapsed="false">
      <c r="A786" s="160"/>
      <c r="B786" s="160"/>
      <c r="C786" s="160"/>
      <c r="D786" s="160"/>
      <c r="E786" s="160"/>
      <c r="F786" s="161"/>
      <c r="G786" s="161"/>
      <c r="H786" s="155" t="str">
        <f aca="false">IF(D786="Kaltwasser",G786-F786,"")</f>
        <v/>
      </c>
      <c r="I786" s="155" t="str">
        <f aca="false">IF(D786="Warmwasser",G786-F786,"")</f>
        <v/>
      </c>
      <c r="J786" s="156" t="str">
        <f aca="false">IF(D786="ista",G786,"")</f>
        <v/>
      </c>
    </row>
    <row r="787" customFormat="false" ht="13.5" hidden="false" customHeight="false" outlineLevel="0" collapsed="false">
      <c r="A787" s="160"/>
      <c r="B787" s="160"/>
      <c r="C787" s="160"/>
      <c r="D787" s="160"/>
      <c r="E787" s="160"/>
      <c r="F787" s="161"/>
      <c r="G787" s="161"/>
      <c r="H787" s="155" t="str">
        <f aca="false">IF(D787="Kaltwasser",G787-F787,"")</f>
        <v/>
      </c>
      <c r="I787" s="155" t="str">
        <f aca="false">IF(D787="Warmwasser",G787-F787,"")</f>
        <v/>
      </c>
      <c r="J787" s="156" t="str">
        <f aca="false">IF(D787="ista",G787,"")</f>
        <v/>
      </c>
    </row>
    <row r="788" customFormat="false" ht="13.5" hidden="false" customHeight="false" outlineLevel="0" collapsed="false">
      <c r="A788" s="160"/>
      <c r="B788" s="160"/>
      <c r="C788" s="160"/>
      <c r="D788" s="160"/>
      <c r="E788" s="160"/>
      <c r="F788" s="161"/>
      <c r="G788" s="161"/>
      <c r="H788" s="155" t="str">
        <f aca="false">IF(D788="Kaltwasser",G788-F788,"")</f>
        <v/>
      </c>
      <c r="I788" s="155" t="str">
        <f aca="false">IF(D788="Warmwasser",G788-F788,"")</f>
        <v/>
      </c>
      <c r="J788" s="156" t="str">
        <f aca="false">IF(D788="ista",G788,"")</f>
        <v/>
      </c>
    </row>
    <row r="789" customFormat="false" ht="13.5" hidden="false" customHeight="false" outlineLevel="0" collapsed="false">
      <c r="A789" s="160"/>
      <c r="B789" s="160"/>
      <c r="C789" s="160"/>
      <c r="D789" s="160"/>
      <c r="E789" s="160"/>
      <c r="F789" s="161"/>
      <c r="G789" s="161"/>
      <c r="H789" s="155" t="str">
        <f aca="false">IF(D789="Kaltwasser",G789-F789,"")</f>
        <v/>
      </c>
      <c r="I789" s="155" t="str">
        <f aca="false">IF(D789="Warmwasser",G789-F789,"")</f>
        <v/>
      </c>
      <c r="J789" s="156" t="str">
        <f aca="false">IF(D789="ista",G789,"")</f>
        <v/>
      </c>
    </row>
    <row r="790" customFormat="false" ht="13.5" hidden="false" customHeight="false" outlineLevel="0" collapsed="false">
      <c r="A790" s="160"/>
      <c r="B790" s="160"/>
      <c r="C790" s="160"/>
      <c r="D790" s="160"/>
      <c r="E790" s="160"/>
      <c r="F790" s="161"/>
      <c r="G790" s="161"/>
      <c r="H790" s="155" t="str">
        <f aca="false">IF(D790="Kaltwasser",G790-F790,"")</f>
        <v/>
      </c>
      <c r="I790" s="155" t="str">
        <f aca="false">IF(D790="Warmwasser",G790-F790,"")</f>
        <v/>
      </c>
      <c r="J790" s="156" t="str">
        <f aca="false">IF(D790="ista",G790,"")</f>
        <v/>
      </c>
    </row>
    <row r="791" customFormat="false" ht="13.5" hidden="false" customHeight="false" outlineLevel="0" collapsed="false">
      <c r="A791" s="160"/>
      <c r="B791" s="160"/>
      <c r="C791" s="160"/>
      <c r="D791" s="160"/>
      <c r="E791" s="160"/>
      <c r="F791" s="161"/>
      <c r="G791" s="161"/>
      <c r="H791" s="155" t="str">
        <f aca="false">IF(D791="Kaltwasser",G791-F791,"")</f>
        <v/>
      </c>
      <c r="I791" s="155" t="str">
        <f aca="false">IF(D791="Warmwasser",G791-F791,"")</f>
        <v/>
      </c>
      <c r="J791" s="156" t="str">
        <f aca="false">IF(D791="ista",G791,"")</f>
        <v/>
      </c>
    </row>
    <row r="792" customFormat="false" ht="13.5" hidden="false" customHeight="false" outlineLevel="0" collapsed="false">
      <c r="A792" s="160"/>
      <c r="B792" s="160"/>
      <c r="C792" s="160"/>
      <c r="D792" s="160"/>
      <c r="E792" s="160"/>
      <c r="F792" s="161"/>
      <c r="G792" s="161"/>
      <c r="H792" s="155" t="str">
        <f aca="false">IF(D792="Kaltwasser",G792-F792,"")</f>
        <v/>
      </c>
      <c r="I792" s="155" t="str">
        <f aca="false">IF(D792="Warmwasser",G792-F792,"")</f>
        <v/>
      </c>
      <c r="J792" s="156" t="str">
        <f aca="false">IF(D792="ista",G792,"")</f>
        <v/>
      </c>
    </row>
    <row r="793" customFormat="false" ht="13.5" hidden="false" customHeight="false" outlineLevel="0" collapsed="false">
      <c r="A793" s="160"/>
      <c r="B793" s="160"/>
      <c r="C793" s="160"/>
      <c r="D793" s="160"/>
      <c r="E793" s="160"/>
      <c r="F793" s="161"/>
      <c r="G793" s="161"/>
      <c r="H793" s="155" t="str">
        <f aca="false">IF(D793="Kaltwasser",G793-F793,"")</f>
        <v/>
      </c>
      <c r="I793" s="155" t="str">
        <f aca="false">IF(D793="Warmwasser",G793-F793,"")</f>
        <v/>
      </c>
      <c r="J793" s="156" t="str">
        <f aca="false">IF(D793="ista",G793,"")</f>
        <v/>
      </c>
    </row>
    <row r="794" customFormat="false" ht="13.5" hidden="false" customHeight="false" outlineLevel="0" collapsed="false">
      <c r="A794" s="160"/>
      <c r="B794" s="160"/>
      <c r="C794" s="160"/>
      <c r="D794" s="160"/>
      <c r="E794" s="160"/>
      <c r="F794" s="161"/>
      <c r="G794" s="161"/>
      <c r="H794" s="155" t="str">
        <f aca="false">IF(D794="Kaltwasser",G794-F794,"")</f>
        <v/>
      </c>
      <c r="I794" s="155" t="str">
        <f aca="false">IF(D794="Warmwasser",G794-F794,"")</f>
        <v/>
      </c>
      <c r="J794" s="156" t="str">
        <f aca="false">IF(D794="ista",G794,"")</f>
        <v/>
      </c>
    </row>
    <row r="795" customFormat="false" ht="13.5" hidden="false" customHeight="false" outlineLevel="0" collapsed="false">
      <c r="A795" s="160"/>
      <c r="B795" s="160"/>
      <c r="C795" s="160"/>
      <c r="D795" s="160"/>
      <c r="E795" s="160"/>
      <c r="F795" s="161"/>
      <c r="G795" s="161"/>
      <c r="H795" s="155" t="str">
        <f aca="false">IF(D795="Kaltwasser",G795-F795,"")</f>
        <v/>
      </c>
      <c r="I795" s="155" t="str">
        <f aca="false">IF(D795="Warmwasser",G795-F795,"")</f>
        <v/>
      </c>
      <c r="J795" s="156" t="str">
        <f aca="false">IF(D795="ista",G795,"")</f>
        <v/>
      </c>
    </row>
    <row r="796" customFormat="false" ht="13.5" hidden="false" customHeight="false" outlineLevel="0" collapsed="false">
      <c r="A796" s="160"/>
      <c r="B796" s="160"/>
      <c r="C796" s="160"/>
      <c r="D796" s="160"/>
      <c r="E796" s="160"/>
      <c r="F796" s="161"/>
      <c r="G796" s="161"/>
      <c r="H796" s="155" t="str">
        <f aca="false">IF(D796="Kaltwasser",G796-F796,"")</f>
        <v/>
      </c>
      <c r="I796" s="155" t="str">
        <f aca="false">IF(D796="Warmwasser",G796-F796,"")</f>
        <v/>
      </c>
      <c r="J796" s="156" t="str">
        <f aca="false">IF(D796="ista",G796,"")</f>
        <v/>
      </c>
    </row>
    <row r="797" customFormat="false" ht="13.5" hidden="false" customHeight="false" outlineLevel="0" collapsed="false">
      <c r="A797" s="160"/>
      <c r="B797" s="160"/>
      <c r="C797" s="160"/>
      <c r="D797" s="160"/>
      <c r="E797" s="160"/>
      <c r="F797" s="161"/>
      <c r="G797" s="161"/>
      <c r="H797" s="155" t="str">
        <f aca="false">IF(D797="Kaltwasser",G797-F797,"")</f>
        <v/>
      </c>
      <c r="I797" s="155" t="str">
        <f aca="false">IF(D797="Warmwasser",G797-F797,"")</f>
        <v/>
      </c>
      <c r="J797" s="156" t="str">
        <f aca="false">IF(D797="ista",G797,"")</f>
        <v/>
      </c>
    </row>
    <row r="798" customFormat="false" ht="13.5" hidden="false" customHeight="false" outlineLevel="0" collapsed="false">
      <c r="A798" s="160"/>
      <c r="B798" s="160"/>
      <c r="C798" s="160"/>
      <c r="D798" s="160"/>
      <c r="E798" s="160"/>
      <c r="F798" s="161"/>
      <c r="G798" s="161"/>
      <c r="H798" s="155" t="str">
        <f aca="false">IF(D798="Kaltwasser",G798-F798,"")</f>
        <v/>
      </c>
      <c r="I798" s="155" t="str">
        <f aca="false">IF(D798="Warmwasser",G798-F798,"")</f>
        <v/>
      </c>
      <c r="J798" s="156" t="str">
        <f aca="false">IF(D798="ista",G798,"")</f>
        <v/>
      </c>
    </row>
    <row r="799" customFormat="false" ht="13.5" hidden="false" customHeight="false" outlineLevel="0" collapsed="false">
      <c r="A799" s="160"/>
      <c r="B799" s="160"/>
      <c r="C799" s="160"/>
      <c r="D799" s="160"/>
      <c r="E799" s="160"/>
      <c r="F799" s="161"/>
      <c r="G799" s="161"/>
      <c r="H799" s="155" t="str">
        <f aca="false">IF(D799="Kaltwasser",G799-F799,"")</f>
        <v/>
      </c>
      <c r="I799" s="155" t="str">
        <f aca="false">IF(D799="Warmwasser",G799-F799,"")</f>
        <v/>
      </c>
      <c r="J799" s="156" t="str">
        <f aca="false">IF(D799="ista",G799,"")</f>
        <v/>
      </c>
    </row>
    <row r="800" customFormat="false" ht="13.5" hidden="false" customHeight="false" outlineLevel="0" collapsed="false">
      <c r="A800" s="160"/>
      <c r="B800" s="160"/>
      <c r="C800" s="160"/>
      <c r="D800" s="160"/>
      <c r="E800" s="160"/>
      <c r="F800" s="161"/>
      <c r="G800" s="161"/>
      <c r="H800" s="155" t="str">
        <f aca="false">IF(D800="Kaltwasser",G800-F800,"")</f>
        <v/>
      </c>
      <c r="I800" s="155" t="str">
        <f aca="false">IF(D800="Warmwasser",G800-F800,"")</f>
        <v/>
      </c>
      <c r="J800" s="156" t="str">
        <f aca="false">IF(D800="ista",G800,"")</f>
        <v/>
      </c>
    </row>
    <row r="801" customFormat="false" ht="13.5" hidden="false" customHeight="false" outlineLevel="0" collapsed="false">
      <c r="A801" s="160"/>
      <c r="B801" s="160"/>
      <c r="C801" s="160"/>
      <c r="D801" s="160"/>
      <c r="E801" s="160"/>
      <c r="F801" s="161"/>
      <c r="G801" s="161"/>
      <c r="H801" s="155" t="str">
        <f aca="false">IF(D801="Kaltwasser",G801-F801,"")</f>
        <v/>
      </c>
      <c r="I801" s="155" t="str">
        <f aca="false">IF(D801="Warmwasser",G801-F801,"")</f>
        <v/>
      </c>
      <c r="J801" s="156" t="str">
        <f aca="false">IF(D801="ista",G801,"")</f>
        <v/>
      </c>
    </row>
    <row r="802" customFormat="false" ht="13.5" hidden="false" customHeight="false" outlineLevel="0" collapsed="false">
      <c r="A802" s="160"/>
      <c r="B802" s="160"/>
      <c r="C802" s="160"/>
      <c r="D802" s="160"/>
      <c r="E802" s="160"/>
      <c r="F802" s="161"/>
      <c r="G802" s="161"/>
      <c r="H802" s="155" t="str">
        <f aca="false">IF(D802="Kaltwasser",G802-F802,"")</f>
        <v/>
      </c>
      <c r="I802" s="155" t="str">
        <f aca="false">IF(D802="Warmwasser",G802-F802,"")</f>
        <v/>
      </c>
      <c r="J802" s="156" t="str">
        <f aca="false">IF(D802="ista",G802,"")</f>
        <v/>
      </c>
    </row>
    <row r="803" customFormat="false" ht="13.5" hidden="false" customHeight="false" outlineLevel="0" collapsed="false">
      <c r="A803" s="160"/>
      <c r="B803" s="160"/>
      <c r="C803" s="160"/>
      <c r="D803" s="160"/>
      <c r="E803" s="160"/>
      <c r="F803" s="161"/>
      <c r="G803" s="161"/>
      <c r="H803" s="155" t="str">
        <f aca="false">IF(D803="Kaltwasser",G803-F803,"")</f>
        <v/>
      </c>
      <c r="I803" s="155" t="str">
        <f aca="false">IF(D803="Warmwasser",G803-F803,"")</f>
        <v/>
      </c>
      <c r="J803" s="156" t="str">
        <f aca="false">IF(D803="ista",G803,"")</f>
        <v/>
      </c>
    </row>
    <row r="804" customFormat="false" ht="13.5" hidden="false" customHeight="false" outlineLevel="0" collapsed="false">
      <c r="A804" s="160"/>
      <c r="B804" s="160"/>
      <c r="C804" s="160"/>
      <c r="D804" s="160"/>
      <c r="E804" s="160"/>
      <c r="F804" s="161"/>
      <c r="G804" s="161"/>
      <c r="H804" s="155" t="str">
        <f aca="false">IF(D804="Kaltwasser",G804-F804,"")</f>
        <v/>
      </c>
      <c r="I804" s="155" t="str">
        <f aca="false">IF(D804="Warmwasser",G804-F804,"")</f>
        <v/>
      </c>
      <c r="J804" s="156" t="str">
        <f aca="false">IF(D804="ista",G804,"")</f>
        <v/>
      </c>
    </row>
    <row r="805" customFormat="false" ht="13.5" hidden="false" customHeight="false" outlineLevel="0" collapsed="false">
      <c r="A805" s="160"/>
      <c r="B805" s="160"/>
      <c r="C805" s="160"/>
      <c r="D805" s="160"/>
      <c r="E805" s="160"/>
      <c r="F805" s="161"/>
      <c r="G805" s="161"/>
      <c r="H805" s="155" t="str">
        <f aca="false">IF(D805="Kaltwasser",G805-F805,"")</f>
        <v/>
      </c>
      <c r="I805" s="155" t="str">
        <f aca="false">IF(D805="Warmwasser",G805-F805,"")</f>
        <v/>
      </c>
      <c r="J805" s="156" t="str">
        <f aca="false">IF(D805="ista",G805,"")</f>
        <v/>
      </c>
    </row>
    <row r="806" customFormat="false" ht="13.5" hidden="false" customHeight="false" outlineLevel="0" collapsed="false">
      <c r="A806" s="160"/>
      <c r="B806" s="160"/>
      <c r="C806" s="160"/>
      <c r="D806" s="160"/>
      <c r="E806" s="160"/>
      <c r="F806" s="161"/>
      <c r="G806" s="161"/>
      <c r="H806" s="155" t="str">
        <f aca="false">IF(D806="Kaltwasser",G806-F806,"")</f>
        <v/>
      </c>
      <c r="I806" s="155" t="str">
        <f aca="false">IF(D806="Warmwasser",G806-F806,"")</f>
        <v/>
      </c>
      <c r="J806" s="156" t="str">
        <f aca="false">IF(D806="ista",G806,"")</f>
        <v/>
      </c>
    </row>
    <row r="807" customFormat="false" ht="13.5" hidden="false" customHeight="false" outlineLevel="0" collapsed="false">
      <c r="A807" s="160"/>
      <c r="B807" s="160"/>
      <c r="C807" s="160"/>
      <c r="D807" s="160"/>
      <c r="E807" s="160"/>
      <c r="F807" s="161"/>
      <c r="G807" s="161"/>
      <c r="H807" s="155" t="str">
        <f aca="false">IF(D807="Kaltwasser",G807-F807,"")</f>
        <v/>
      </c>
      <c r="I807" s="155" t="str">
        <f aca="false">IF(D807="Warmwasser",G807-F807,"")</f>
        <v/>
      </c>
      <c r="J807" s="156" t="str">
        <f aca="false">IF(D807="ista",G807,"")</f>
        <v/>
      </c>
    </row>
    <row r="808" customFormat="false" ht="13.5" hidden="false" customHeight="false" outlineLevel="0" collapsed="false">
      <c r="A808" s="160"/>
      <c r="B808" s="160"/>
      <c r="C808" s="160"/>
      <c r="D808" s="160"/>
      <c r="E808" s="160"/>
      <c r="F808" s="161"/>
      <c r="G808" s="161"/>
      <c r="H808" s="155" t="str">
        <f aca="false">IF(D808="Kaltwasser",G808-F808,"")</f>
        <v/>
      </c>
      <c r="I808" s="155" t="str">
        <f aca="false">IF(D808="Warmwasser",G808-F808,"")</f>
        <v/>
      </c>
      <c r="J808" s="156" t="str">
        <f aca="false">IF(D808="ista",G808,"")</f>
        <v/>
      </c>
    </row>
    <row r="809" customFormat="false" ht="13.5" hidden="false" customHeight="false" outlineLevel="0" collapsed="false">
      <c r="A809" s="160"/>
      <c r="B809" s="160"/>
      <c r="C809" s="160"/>
      <c r="D809" s="160"/>
      <c r="E809" s="160"/>
      <c r="F809" s="161"/>
      <c r="G809" s="161"/>
      <c r="H809" s="155" t="str">
        <f aca="false">IF(D809="Kaltwasser",G809-F809,"")</f>
        <v/>
      </c>
      <c r="I809" s="155" t="str">
        <f aca="false">IF(D809="Warmwasser",G809-F809,"")</f>
        <v/>
      </c>
      <c r="J809" s="156" t="str">
        <f aca="false">IF(D809="ista",G809,"")</f>
        <v/>
      </c>
    </row>
    <row r="810" customFormat="false" ht="13.5" hidden="false" customHeight="false" outlineLevel="0" collapsed="false">
      <c r="A810" s="160"/>
      <c r="B810" s="160"/>
      <c r="C810" s="160"/>
      <c r="D810" s="160"/>
      <c r="E810" s="160"/>
      <c r="F810" s="161"/>
      <c r="G810" s="161"/>
      <c r="H810" s="155" t="str">
        <f aca="false">IF(D810="Kaltwasser",G810-F810,"")</f>
        <v/>
      </c>
      <c r="I810" s="155" t="str">
        <f aca="false">IF(D810="Warmwasser",G810-F810,"")</f>
        <v/>
      </c>
      <c r="J810" s="156" t="str">
        <f aca="false">IF(D810="ista",G810,"")</f>
        <v/>
      </c>
    </row>
    <row r="811" customFormat="false" ht="13.5" hidden="false" customHeight="false" outlineLevel="0" collapsed="false">
      <c r="A811" s="160"/>
      <c r="B811" s="160"/>
      <c r="C811" s="160"/>
      <c r="D811" s="160"/>
      <c r="E811" s="160"/>
      <c r="F811" s="161"/>
      <c r="G811" s="161"/>
      <c r="H811" s="155" t="str">
        <f aca="false">IF(D811="Kaltwasser",G811-F811,"")</f>
        <v/>
      </c>
      <c r="I811" s="155" t="str">
        <f aca="false">IF(D811="Warmwasser",G811-F811,"")</f>
        <v/>
      </c>
      <c r="J811" s="156" t="str">
        <f aca="false">IF(D811="ista",G811,"")</f>
        <v/>
      </c>
    </row>
    <row r="812" customFormat="false" ht="13.5" hidden="false" customHeight="false" outlineLevel="0" collapsed="false">
      <c r="A812" s="160"/>
      <c r="B812" s="160"/>
      <c r="C812" s="160"/>
      <c r="D812" s="160"/>
      <c r="E812" s="160"/>
      <c r="F812" s="161"/>
      <c r="G812" s="161"/>
      <c r="H812" s="155" t="str">
        <f aca="false">IF(D812="Kaltwasser",G812-F812,"")</f>
        <v/>
      </c>
      <c r="I812" s="155" t="str">
        <f aca="false">IF(D812="Warmwasser",G812-F812,"")</f>
        <v/>
      </c>
      <c r="J812" s="156" t="str">
        <f aca="false">IF(D812="ista",G812,"")</f>
        <v/>
      </c>
    </row>
    <row r="813" customFormat="false" ht="13.5" hidden="false" customHeight="false" outlineLevel="0" collapsed="false">
      <c r="A813" s="160"/>
      <c r="B813" s="160"/>
      <c r="C813" s="160"/>
      <c r="D813" s="160"/>
      <c r="E813" s="160"/>
      <c r="F813" s="161"/>
      <c r="G813" s="161"/>
      <c r="H813" s="155" t="str">
        <f aca="false">IF(D813="Kaltwasser",G813-F813,"")</f>
        <v/>
      </c>
      <c r="I813" s="155" t="str">
        <f aca="false">IF(D813="Warmwasser",G813-F813,"")</f>
        <v/>
      </c>
      <c r="J813" s="156" t="str">
        <f aca="false">IF(D813="ista",G813,"")</f>
        <v/>
      </c>
    </row>
    <row r="814" customFormat="false" ht="13.5" hidden="false" customHeight="false" outlineLevel="0" collapsed="false">
      <c r="A814" s="160"/>
      <c r="B814" s="160"/>
      <c r="C814" s="160"/>
      <c r="D814" s="160"/>
      <c r="E814" s="160"/>
      <c r="F814" s="161"/>
      <c r="G814" s="161"/>
      <c r="H814" s="155" t="str">
        <f aca="false">IF(D814="Kaltwasser",G814-F814,"")</f>
        <v/>
      </c>
      <c r="I814" s="155" t="str">
        <f aca="false">IF(D814="Warmwasser",G814-F814,"")</f>
        <v/>
      </c>
      <c r="J814" s="156" t="str">
        <f aca="false">IF(D814="ista",G814,"")</f>
        <v/>
      </c>
    </row>
    <row r="815" customFormat="false" ht="13.5" hidden="false" customHeight="false" outlineLevel="0" collapsed="false">
      <c r="A815" s="160"/>
      <c r="B815" s="160"/>
      <c r="C815" s="160"/>
      <c r="D815" s="160"/>
      <c r="E815" s="160"/>
      <c r="F815" s="161"/>
      <c r="G815" s="161"/>
      <c r="H815" s="155" t="str">
        <f aca="false">IF(D815="Kaltwasser",G815-F815,"")</f>
        <v/>
      </c>
      <c r="I815" s="155" t="str">
        <f aca="false">IF(D815="Warmwasser",G815-F815,"")</f>
        <v/>
      </c>
      <c r="J815" s="156" t="str">
        <f aca="false">IF(D815="ista",G815,"")</f>
        <v/>
      </c>
    </row>
    <row r="816" customFormat="false" ht="13.5" hidden="false" customHeight="false" outlineLevel="0" collapsed="false">
      <c r="A816" s="160"/>
      <c r="B816" s="160"/>
      <c r="C816" s="160"/>
      <c r="D816" s="160"/>
      <c r="E816" s="160"/>
      <c r="F816" s="161"/>
      <c r="G816" s="161"/>
      <c r="H816" s="155" t="str">
        <f aca="false">IF(D816="Kaltwasser",G816-F816,"")</f>
        <v/>
      </c>
      <c r="I816" s="155" t="str">
        <f aca="false">IF(D816="Warmwasser",G816-F816,"")</f>
        <v/>
      </c>
      <c r="J816" s="156" t="str">
        <f aca="false">IF(D816="ista",G816,"")</f>
        <v/>
      </c>
    </row>
    <row r="817" customFormat="false" ht="13.5" hidden="false" customHeight="false" outlineLevel="0" collapsed="false">
      <c r="A817" s="160"/>
      <c r="B817" s="160"/>
      <c r="C817" s="160"/>
      <c r="D817" s="160"/>
      <c r="E817" s="160"/>
      <c r="F817" s="161"/>
      <c r="G817" s="161"/>
      <c r="H817" s="155" t="str">
        <f aca="false">IF(D817="Kaltwasser",G817-F817,"")</f>
        <v/>
      </c>
      <c r="I817" s="155" t="str">
        <f aca="false">IF(D817="Warmwasser",G817-F817,"")</f>
        <v/>
      </c>
      <c r="J817" s="156" t="str">
        <f aca="false">IF(D817="ista",G817,"")</f>
        <v/>
      </c>
    </row>
    <row r="818" customFormat="false" ht="13.5" hidden="false" customHeight="false" outlineLevel="0" collapsed="false">
      <c r="A818" s="160"/>
      <c r="B818" s="160"/>
      <c r="C818" s="160"/>
      <c r="D818" s="160"/>
      <c r="E818" s="160"/>
      <c r="F818" s="161"/>
      <c r="G818" s="161"/>
      <c r="H818" s="155" t="str">
        <f aca="false">IF(D818="Kaltwasser",G818-F818,"")</f>
        <v/>
      </c>
      <c r="I818" s="155" t="str">
        <f aca="false">IF(D818="Warmwasser",G818-F818,"")</f>
        <v/>
      </c>
      <c r="J818" s="156" t="str">
        <f aca="false">IF(D818="ista",G818,"")</f>
        <v/>
      </c>
    </row>
    <row r="819" customFormat="false" ht="13.5" hidden="false" customHeight="false" outlineLevel="0" collapsed="false">
      <c r="A819" s="160"/>
      <c r="B819" s="160"/>
      <c r="C819" s="160"/>
      <c r="D819" s="160"/>
      <c r="E819" s="160"/>
      <c r="F819" s="161"/>
      <c r="G819" s="161"/>
      <c r="H819" s="155" t="str">
        <f aca="false">IF(D819="Kaltwasser",G819-F819,"")</f>
        <v/>
      </c>
      <c r="I819" s="155" t="str">
        <f aca="false">IF(D819="Warmwasser",G819-F819,"")</f>
        <v/>
      </c>
      <c r="J819" s="156" t="str">
        <f aca="false">IF(D819="ista",G819,"")</f>
        <v/>
      </c>
    </row>
    <row r="820" customFormat="false" ht="13.5" hidden="false" customHeight="false" outlineLevel="0" collapsed="false">
      <c r="A820" s="160"/>
      <c r="B820" s="160"/>
      <c r="C820" s="160"/>
      <c r="D820" s="160"/>
      <c r="E820" s="160"/>
      <c r="F820" s="161"/>
      <c r="G820" s="161"/>
      <c r="H820" s="155" t="str">
        <f aca="false">IF(D820="Kaltwasser",G820-F820,"")</f>
        <v/>
      </c>
      <c r="I820" s="155" t="str">
        <f aca="false">IF(D820="Warmwasser",G820-F820,"")</f>
        <v/>
      </c>
      <c r="J820" s="156" t="str">
        <f aca="false">IF(D820="ista",G820,"")</f>
        <v/>
      </c>
    </row>
    <row r="821" customFormat="false" ht="13.5" hidden="false" customHeight="false" outlineLevel="0" collapsed="false">
      <c r="A821" s="160"/>
      <c r="B821" s="160"/>
      <c r="C821" s="160"/>
      <c r="D821" s="160"/>
      <c r="E821" s="160"/>
      <c r="F821" s="161"/>
      <c r="G821" s="161"/>
      <c r="H821" s="155" t="str">
        <f aca="false">IF(D821="Kaltwasser",G821-F821,"")</f>
        <v/>
      </c>
      <c r="I821" s="155" t="str">
        <f aca="false">IF(D821="Warmwasser",G821-F821,"")</f>
        <v/>
      </c>
      <c r="J821" s="156" t="str">
        <f aca="false">IF(D821="ista",G821,"")</f>
        <v/>
      </c>
    </row>
    <row r="822" customFormat="false" ht="13.5" hidden="false" customHeight="false" outlineLevel="0" collapsed="false">
      <c r="A822" s="160"/>
      <c r="B822" s="160"/>
      <c r="C822" s="160"/>
      <c r="D822" s="160"/>
      <c r="E822" s="160"/>
      <c r="F822" s="161"/>
      <c r="G822" s="161"/>
      <c r="H822" s="155" t="str">
        <f aca="false">IF(D822="Kaltwasser",G822-F822,"")</f>
        <v/>
      </c>
      <c r="I822" s="155" t="str">
        <f aca="false">IF(D822="Warmwasser",G822-F822,"")</f>
        <v/>
      </c>
      <c r="J822" s="156" t="str">
        <f aca="false">IF(D822="ista",G822,"")</f>
        <v/>
      </c>
    </row>
    <row r="823" customFormat="false" ht="13.5" hidden="false" customHeight="false" outlineLevel="0" collapsed="false">
      <c r="A823" s="160"/>
      <c r="B823" s="160"/>
      <c r="C823" s="160"/>
      <c r="D823" s="160"/>
      <c r="E823" s="160"/>
      <c r="F823" s="161"/>
      <c r="G823" s="161"/>
      <c r="H823" s="155" t="str">
        <f aca="false">IF(D823="Kaltwasser",G823-F823,"")</f>
        <v/>
      </c>
      <c r="I823" s="155" t="str">
        <f aca="false">IF(D823="Warmwasser",G823-F823,"")</f>
        <v/>
      </c>
      <c r="J823" s="156" t="str">
        <f aca="false">IF(D823="ista",G823,"")</f>
        <v/>
      </c>
    </row>
    <row r="824" customFormat="false" ht="13.5" hidden="false" customHeight="false" outlineLevel="0" collapsed="false">
      <c r="A824" s="160"/>
      <c r="B824" s="160"/>
      <c r="C824" s="160"/>
      <c r="D824" s="160"/>
      <c r="E824" s="160"/>
      <c r="F824" s="161"/>
      <c r="G824" s="161"/>
      <c r="H824" s="155" t="str">
        <f aca="false">IF(D824="Kaltwasser",G824-F824,"")</f>
        <v/>
      </c>
      <c r="I824" s="155" t="str">
        <f aca="false">IF(D824="Warmwasser",G824-F824,"")</f>
        <v/>
      </c>
      <c r="J824" s="156" t="str">
        <f aca="false">IF(D824="ista",G824,"")</f>
        <v/>
      </c>
    </row>
    <row r="825" customFormat="false" ht="13.5" hidden="false" customHeight="false" outlineLevel="0" collapsed="false">
      <c r="A825" s="160"/>
      <c r="B825" s="160"/>
      <c r="C825" s="160"/>
      <c r="D825" s="160"/>
      <c r="E825" s="160"/>
      <c r="F825" s="161"/>
      <c r="G825" s="161"/>
      <c r="H825" s="155" t="str">
        <f aca="false">IF(D825="Kaltwasser",G825-F825,"")</f>
        <v/>
      </c>
      <c r="I825" s="155" t="str">
        <f aca="false">IF(D825="Warmwasser",G825-F825,"")</f>
        <v/>
      </c>
      <c r="J825" s="156" t="str">
        <f aca="false">IF(D825="ista",G825,"")</f>
        <v/>
      </c>
    </row>
    <row r="826" customFormat="false" ht="13.5" hidden="false" customHeight="false" outlineLevel="0" collapsed="false">
      <c r="A826" s="160"/>
      <c r="B826" s="160"/>
      <c r="C826" s="160"/>
      <c r="D826" s="160"/>
      <c r="E826" s="160"/>
      <c r="F826" s="161"/>
      <c r="G826" s="161"/>
      <c r="H826" s="155" t="str">
        <f aca="false">IF(D826="Kaltwasser",G826-F826,"")</f>
        <v/>
      </c>
      <c r="I826" s="155" t="str">
        <f aca="false">IF(D826="Warmwasser",G826-F826,"")</f>
        <v/>
      </c>
      <c r="J826" s="156" t="str">
        <f aca="false">IF(D826="ista",G826,"")</f>
        <v/>
      </c>
    </row>
    <row r="827" customFormat="false" ht="13.5" hidden="false" customHeight="false" outlineLevel="0" collapsed="false">
      <c r="A827" s="160"/>
      <c r="B827" s="160"/>
      <c r="C827" s="160"/>
      <c r="D827" s="160"/>
      <c r="E827" s="160"/>
      <c r="F827" s="161"/>
      <c r="G827" s="161"/>
      <c r="H827" s="155" t="str">
        <f aca="false">IF(D827="Kaltwasser",G827-F827,"")</f>
        <v/>
      </c>
      <c r="I827" s="155" t="str">
        <f aca="false">IF(D827="Warmwasser",G827-F827,"")</f>
        <v/>
      </c>
      <c r="J827" s="156" t="str">
        <f aca="false">IF(D827="ista",G827,"")</f>
        <v/>
      </c>
    </row>
    <row r="828" customFormat="false" ht="13.5" hidden="false" customHeight="false" outlineLevel="0" collapsed="false">
      <c r="A828" s="160"/>
      <c r="B828" s="160"/>
      <c r="C828" s="160"/>
      <c r="D828" s="160"/>
      <c r="E828" s="160"/>
      <c r="F828" s="161"/>
      <c r="G828" s="161"/>
      <c r="H828" s="155" t="str">
        <f aca="false">IF(D828="Kaltwasser",G828-F828,"")</f>
        <v/>
      </c>
      <c r="I828" s="155" t="str">
        <f aca="false">IF(D828="Warmwasser",G828-F828,"")</f>
        <v/>
      </c>
      <c r="J828" s="156" t="str">
        <f aca="false">IF(D828="ista",G828,"")</f>
        <v/>
      </c>
    </row>
    <row r="829" customFormat="false" ht="13.5" hidden="false" customHeight="false" outlineLevel="0" collapsed="false">
      <c r="A829" s="160"/>
      <c r="B829" s="160"/>
      <c r="C829" s="160"/>
      <c r="D829" s="160"/>
      <c r="E829" s="160"/>
      <c r="F829" s="161"/>
      <c r="G829" s="161"/>
      <c r="H829" s="155" t="str">
        <f aca="false">IF(D829="Kaltwasser",G829-F829,"")</f>
        <v/>
      </c>
      <c r="I829" s="155" t="str">
        <f aca="false">IF(D829="Warmwasser",G829-F829,"")</f>
        <v/>
      </c>
      <c r="J829" s="156" t="str">
        <f aca="false">IF(D829="ista",G829,"")</f>
        <v/>
      </c>
    </row>
    <row r="830" customFormat="false" ht="13.5" hidden="false" customHeight="false" outlineLevel="0" collapsed="false">
      <c r="A830" s="160"/>
      <c r="B830" s="160"/>
      <c r="C830" s="160"/>
      <c r="D830" s="160"/>
      <c r="E830" s="160"/>
      <c r="F830" s="161"/>
      <c r="G830" s="161"/>
      <c r="H830" s="155" t="str">
        <f aca="false">IF(D830="Kaltwasser",G830-F830,"")</f>
        <v/>
      </c>
      <c r="I830" s="155" t="str">
        <f aca="false">IF(D830="Warmwasser",G830-F830,"")</f>
        <v/>
      </c>
      <c r="J830" s="156" t="str">
        <f aca="false">IF(D830="ista",G830,"")</f>
        <v/>
      </c>
    </row>
    <row r="831" customFormat="false" ht="13.5" hidden="false" customHeight="false" outlineLevel="0" collapsed="false">
      <c r="A831" s="160"/>
      <c r="B831" s="160"/>
      <c r="C831" s="160"/>
      <c r="D831" s="160"/>
      <c r="E831" s="160"/>
      <c r="F831" s="161"/>
      <c r="G831" s="161"/>
      <c r="H831" s="155" t="str">
        <f aca="false">IF(D831="Kaltwasser",G831-F831,"")</f>
        <v/>
      </c>
      <c r="I831" s="155" t="str">
        <f aca="false">IF(D831="Warmwasser",G831-F831,"")</f>
        <v/>
      </c>
      <c r="J831" s="156" t="str">
        <f aca="false">IF(D831="ista",G831,"")</f>
        <v/>
      </c>
    </row>
    <row r="832" customFormat="false" ht="13.5" hidden="false" customHeight="false" outlineLevel="0" collapsed="false">
      <c r="A832" s="160"/>
      <c r="B832" s="160"/>
      <c r="C832" s="160"/>
      <c r="D832" s="160"/>
      <c r="E832" s="160"/>
      <c r="F832" s="161"/>
      <c r="G832" s="161"/>
      <c r="H832" s="155" t="str">
        <f aca="false">IF(D832="Kaltwasser",G832-F832,"")</f>
        <v/>
      </c>
      <c r="I832" s="155" t="str">
        <f aca="false">IF(D832="Warmwasser",G832-F832,"")</f>
        <v/>
      </c>
      <c r="J832" s="156" t="str">
        <f aca="false">IF(D832="ista",G832,"")</f>
        <v/>
      </c>
    </row>
    <row r="833" customFormat="false" ht="13.5" hidden="false" customHeight="false" outlineLevel="0" collapsed="false">
      <c r="A833" s="160"/>
      <c r="B833" s="160"/>
      <c r="C833" s="160"/>
      <c r="D833" s="160"/>
      <c r="E833" s="160"/>
      <c r="F833" s="161"/>
      <c r="G833" s="161"/>
      <c r="H833" s="155" t="str">
        <f aca="false">IF(D833="Kaltwasser",G833-F833,"")</f>
        <v/>
      </c>
      <c r="I833" s="155" t="str">
        <f aca="false">IF(D833="Warmwasser",G833-F833,"")</f>
        <v/>
      </c>
      <c r="J833" s="156" t="str">
        <f aca="false">IF(D833="ista",G833,"")</f>
        <v/>
      </c>
    </row>
    <row r="834" customFormat="false" ht="13.5" hidden="false" customHeight="false" outlineLevel="0" collapsed="false">
      <c r="A834" s="160"/>
      <c r="B834" s="160"/>
      <c r="C834" s="160"/>
      <c r="D834" s="160"/>
      <c r="E834" s="160"/>
      <c r="F834" s="161"/>
      <c r="G834" s="161"/>
      <c r="H834" s="155" t="str">
        <f aca="false">IF(D834="Kaltwasser",G834-F834,"")</f>
        <v/>
      </c>
      <c r="I834" s="155" t="str">
        <f aca="false">IF(D834="Warmwasser",G834-F834,"")</f>
        <v/>
      </c>
      <c r="J834" s="156" t="str">
        <f aca="false">IF(D834="ista",G834,"")</f>
        <v/>
      </c>
    </row>
    <row r="835" customFormat="false" ht="13.5" hidden="false" customHeight="false" outlineLevel="0" collapsed="false">
      <c r="A835" s="160"/>
      <c r="B835" s="160"/>
      <c r="C835" s="160"/>
      <c r="D835" s="160"/>
      <c r="E835" s="160"/>
      <c r="F835" s="161"/>
      <c r="G835" s="161"/>
      <c r="H835" s="155" t="str">
        <f aca="false">IF(D835="Kaltwasser",G835-F835,"")</f>
        <v/>
      </c>
      <c r="I835" s="155" t="str">
        <f aca="false">IF(D835="Warmwasser",G835-F835,"")</f>
        <v/>
      </c>
      <c r="J835" s="156" t="str">
        <f aca="false">IF(D835="ista",G835,"")</f>
        <v/>
      </c>
    </row>
    <row r="836" customFormat="false" ht="13.5" hidden="false" customHeight="false" outlineLevel="0" collapsed="false">
      <c r="A836" s="160"/>
      <c r="B836" s="160"/>
      <c r="C836" s="160"/>
      <c r="D836" s="160"/>
      <c r="E836" s="160"/>
      <c r="F836" s="161"/>
      <c r="G836" s="161"/>
      <c r="H836" s="155" t="str">
        <f aca="false">IF(D836="Kaltwasser",G836-F836,"")</f>
        <v/>
      </c>
      <c r="I836" s="155" t="str">
        <f aca="false">IF(D836="Warmwasser",G836-F836,"")</f>
        <v/>
      </c>
      <c r="J836" s="156" t="str">
        <f aca="false">IF(D836="ista",G836,"")</f>
        <v/>
      </c>
    </row>
    <row r="837" customFormat="false" ht="13.5" hidden="false" customHeight="false" outlineLevel="0" collapsed="false">
      <c r="A837" s="160"/>
      <c r="B837" s="160"/>
      <c r="C837" s="160"/>
      <c r="D837" s="160"/>
      <c r="E837" s="160"/>
      <c r="F837" s="161"/>
      <c r="G837" s="161"/>
      <c r="H837" s="155" t="str">
        <f aca="false">IF(D837="Kaltwasser",G837-F837,"")</f>
        <v/>
      </c>
      <c r="I837" s="155" t="str">
        <f aca="false">IF(D837="Warmwasser",G837-F837,"")</f>
        <v/>
      </c>
      <c r="J837" s="156" t="str">
        <f aca="false">IF(D837="ista",G837,"")</f>
        <v/>
      </c>
    </row>
    <row r="838" customFormat="false" ht="13.5" hidden="false" customHeight="false" outlineLevel="0" collapsed="false">
      <c r="A838" s="160"/>
      <c r="B838" s="160"/>
      <c r="C838" s="160"/>
      <c r="D838" s="160"/>
      <c r="E838" s="160"/>
      <c r="F838" s="161"/>
      <c r="G838" s="161"/>
      <c r="H838" s="155" t="str">
        <f aca="false">IF(D838="Kaltwasser",G838-F838,"")</f>
        <v/>
      </c>
      <c r="I838" s="155" t="str">
        <f aca="false">IF(D838="Warmwasser",G838-F838,"")</f>
        <v/>
      </c>
      <c r="J838" s="156" t="str">
        <f aca="false">IF(D838="ista",G838,"")</f>
        <v/>
      </c>
    </row>
    <row r="839" customFormat="false" ht="13.5" hidden="false" customHeight="false" outlineLevel="0" collapsed="false">
      <c r="A839" s="160"/>
      <c r="B839" s="160"/>
      <c r="C839" s="160"/>
      <c r="D839" s="160"/>
      <c r="E839" s="160"/>
      <c r="F839" s="161"/>
      <c r="G839" s="161"/>
      <c r="H839" s="155" t="str">
        <f aca="false">IF(D839="Kaltwasser",G839-F839,"")</f>
        <v/>
      </c>
      <c r="I839" s="155" t="str">
        <f aca="false">IF(D839="Warmwasser",G839-F839,"")</f>
        <v/>
      </c>
      <c r="J839" s="156" t="str">
        <f aca="false">IF(D839="ista",G839,"")</f>
        <v/>
      </c>
    </row>
    <row r="840" customFormat="false" ht="13.5" hidden="false" customHeight="false" outlineLevel="0" collapsed="false">
      <c r="A840" s="160"/>
      <c r="B840" s="160"/>
      <c r="C840" s="160"/>
      <c r="D840" s="160"/>
      <c r="E840" s="160"/>
      <c r="F840" s="161"/>
      <c r="G840" s="161"/>
      <c r="H840" s="155" t="str">
        <f aca="false">IF(D840="Kaltwasser",G840-F840,"")</f>
        <v/>
      </c>
      <c r="I840" s="155" t="str">
        <f aca="false">IF(D840="Warmwasser",G840-F840,"")</f>
        <v/>
      </c>
      <c r="J840" s="156" t="str">
        <f aca="false">IF(D840="ista",G840,"")</f>
        <v/>
      </c>
    </row>
    <row r="841" customFormat="false" ht="13.5" hidden="false" customHeight="false" outlineLevel="0" collapsed="false">
      <c r="A841" s="160"/>
      <c r="B841" s="160"/>
      <c r="C841" s="160"/>
      <c r="D841" s="160"/>
      <c r="E841" s="160"/>
      <c r="F841" s="161"/>
      <c r="G841" s="161"/>
      <c r="H841" s="155" t="str">
        <f aca="false">IF(D841="Kaltwasser",G841-F841,"")</f>
        <v/>
      </c>
      <c r="I841" s="155" t="str">
        <f aca="false">IF(D841="Warmwasser",G841-F841,"")</f>
        <v/>
      </c>
      <c r="J841" s="156" t="str">
        <f aca="false">IF(D841="ista",G841,"")</f>
        <v/>
      </c>
    </row>
    <row r="842" customFormat="false" ht="13.5" hidden="false" customHeight="false" outlineLevel="0" collapsed="false">
      <c r="A842" s="160"/>
      <c r="B842" s="160"/>
      <c r="C842" s="160"/>
      <c r="D842" s="160"/>
      <c r="E842" s="160"/>
      <c r="F842" s="161"/>
      <c r="G842" s="161"/>
      <c r="H842" s="155" t="str">
        <f aca="false">IF(D842="Kaltwasser",G842-F842,"")</f>
        <v/>
      </c>
      <c r="I842" s="155" t="str">
        <f aca="false">IF(D842="Warmwasser",G842-F842,"")</f>
        <v/>
      </c>
      <c r="J842" s="156" t="str">
        <f aca="false">IF(D842="ista",G842,"")</f>
        <v/>
      </c>
    </row>
    <row r="843" customFormat="false" ht="13.5" hidden="false" customHeight="false" outlineLevel="0" collapsed="false">
      <c r="A843" s="160"/>
      <c r="B843" s="160"/>
      <c r="C843" s="160"/>
      <c r="D843" s="160"/>
      <c r="E843" s="160"/>
      <c r="F843" s="161"/>
      <c r="G843" s="161"/>
      <c r="H843" s="155" t="str">
        <f aca="false">IF(D843="Kaltwasser",G843-F843,"")</f>
        <v/>
      </c>
      <c r="I843" s="155" t="str">
        <f aca="false">IF(D843="Warmwasser",G843-F843,"")</f>
        <v/>
      </c>
      <c r="J843" s="156" t="str">
        <f aca="false">IF(D843="ista",G843,"")</f>
        <v/>
      </c>
    </row>
    <row r="844" customFormat="false" ht="13.5" hidden="false" customHeight="false" outlineLevel="0" collapsed="false">
      <c r="A844" s="160"/>
      <c r="B844" s="160"/>
      <c r="C844" s="160"/>
      <c r="D844" s="160"/>
      <c r="E844" s="160"/>
      <c r="F844" s="161"/>
      <c r="G844" s="161"/>
      <c r="H844" s="155" t="str">
        <f aca="false">IF(D844="Kaltwasser",G844-F844,"")</f>
        <v/>
      </c>
      <c r="I844" s="155" t="str">
        <f aca="false">IF(D844="Warmwasser",G844-F844,"")</f>
        <v/>
      </c>
      <c r="J844" s="156" t="str">
        <f aca="false">IF(D844="ista",G844,"")</f>
        <v/>
      </c>
    </row>
    <row r="845" customFormat="false" ht="13.5" hidden="false" customHeight="false" outlineLevel="0" collapsed="false">
      <c r="A845" s="160"/>
      <c r="B845" s="160"/>
      <c r="C845" s="160"/>
      <c r="D845" s="160"/>
      <c r="E845" s="160"/>
      <c r="F845" s="161"/>
      <c r="G845" s="161"/>
      <c r="H845" s="155" t="str">
        <f aca="false">IF(D845="Kaltwasser",G845-F845,"")</f>
        <v/>
      </c>
      <c r="I845" s="155" t="str">
        <f aca="false">IF(D845="Warmwasser",G845-F845,"")</f>
        <v/>
      </c>
      <c r="J845" s="156" t="str">
        <f aca="false">IF(D845="ista",G845,"")</f>
        <v/>
      </c>
    </row>
    <row r="846" customFormat="false" ht="13.5" hidden="false" customHeight="false" outlineLevel="0" collapsed="false">
      <c r="A846" s="160"/>
      <c r="B846" s="160"/>
      <c r="C846" s="160"/>
      <c r="D846" s="160"/>
      <c r="E846" s="160"/>
      <c r="F846" s="161"/>
      <c r="G846" s="161"/>
      <c r="H846" s="155" t="str">
        <f aca="false">IF(D846="Kaltwasser",G846-F846,"")</f>
        <v/>
      </c>
      <c r="I846" s="155" t="str">
        <f aca="false">IF(D846="Warmwasser",G846-F846,"")</f>
        <v/>
      </c>
      <c r="J846" s="156" t="str">
        <f aca="false">IF(D846="ista",G846,"")</f>
        <v/>
      </c>
    </row>
    <row r="847" customFormat="false" ht="13.5" hidden="false" customHeight="false" outlineLevel="0" collapsed="false">
      <c r="A847" s="160"/>
      <c r="B847" s="160"/>
      <c r="C847" s="160"/>
      <c r="D847" s="160"/>
      <c r="E847" s="160"/>
      <c r="F847" s="161"/>
      <c r="G847" s="161"/>
      <c r="H847" s="155" t="str">
        <f aca="false">IF(D847="Kaltwasser",G847-F847,"")</f>
        <v/>
      </c>
      <c r="I847" s="155" t="str">
        <f aca="false">IF(D847="Warmwasser",G847-F847,"")</f>
        <v/>
      </c>
      <c r="J847" s="156" t="str">
        <f aca="false">IF(D847="ista",G847,"")</f>
        <v/>
      </c>
    </row>
    <row r="848" customFormat="false" ht="13.5" hidden="false" customHeight="false" outlineLevel="0" collapsed="false">
      <c r="A848" s="160"/>
      <c r="B848" s="160"/>
      <c r="C848" s="160"/>
      <c r="D848" s="160"/>
      <c r="E848" s="160"/>
      <c r="F848" s="161"/>
      <c r="G848" s="161"/>
      <c r="H848" s="155" t="str">
        <f aca="false">IF(D848="Kaltwasser",G848-F848,"")</f>
        <v/>
      </c>
      <c r="I848" s="155" t="str">
        <f aca="false">IF(D848="Warmwasser",G848-F848,"")</f>
        <v/>
      </c>
      <c r="J848" s="156" t="str">
        <f aca="false">IF(D848="ista",G848,"")</f>
        <v/>
      </c>
    </row>
    <row r="849" customFormat="false" ht="13.5" hidden="false" customHeight="false" outlineLevel="0" collapsed="false">
      <c r="A849" s="160"/>
      <c r="B849" s="160"/>
      <c r="C849" s="160"/>
      <c r="D849" s="160"/>
      <c r="E849" s="160"/>
      <c r="F849" s="161"/>
      <c r="G849" s="161"/>
      <c r="H849" s="155" t="str">
        <f aca="false">IF(D849="Kaltwasser",G849-F849,"")</f>
        <v/>
      </c>
      <c r="I849" s="155" t="str">
        <f aca="false">IF(D849="Warmwasser",G849-F849,"")</f>
        <v/>
      </c>
      <c r="J849" s="156" t="str">
        <f aca="false">IF(D849="ista",G849,"")</f>
        <v/>
      </c>
    </row>
    <row r="850" customFormat="false" ht="13.5" hidden="false" customHeight="false" outlineLevel="0" collapsed="false">
      <c r="A850" s="160"/>
      <c r="B850" s="160"/>
      <c r="C850" s="160"/>
      <c r="D850" s="160"/>
      <c r="E850" s="160"/>
      <c r="F850" s="161"/>
      <c r="G850" s="161"/>
      <c r="H850" s="155" t="str">
        <f aca="false">IF(D850="Kaltwasser",G850-F850,"")</f>
        <v/>
      </c>
      <c r="I850" s="155" t="str">
        <f aca="false">IF(D850="Warmwasser",G850-F850,"")</f>
        <v/>
      </c>
      <c r="J850" s="156" t="str">
        <f aca="false">IF(D850="ista",G850,"")</f>
        <v/>
      </c>
    </row>
    <row r="851" customFormat="false" ht="13.5" hidden="false" customHeight="false" outlineLevel="0" collapsed="false">
      <c r="A851" s="160"/>
      <c r="B851" s="160"/>
      <c r="C851" s="160"/>
      <c r="D851" s="160"/>
      <c r="E851" s="160"/>
      <c r="F851" s="161"/>
      <c r="G851" s="161"/>
      <c r="H851" s="155" t="str">
        <f aca="false">IF(D851="Kaltwasser",G851-F851,"")</f>
        <v/>
      </c>
      <c r="I851" s="155" t="str">
        <f aca="false">IF(D851="Warmwasser",G851-F851,"")</f>
        <v/>
      </c>
      <c r="J851" s="156" t="str">
        <f aca="false">IF(D851="ista",G851,"")</f>
        <v/>
      </c>
    </row>
    <row r="852" customFormat="false" ht="13.5" hidden="false" customHeight="false" outlineLevel="0" collapsed="false">
      <c r="A852" s="160"/>
      <c r="B852" s="160"/>
      <c r="C852" s="160"/>
      <c r="D852" s="160"/>
      <c r="E852" s="160"/>
      <c r="F852" s="161"/>
      <c r="G852" s="161"/>
      <c r="H852" s="155" t="str">
        <f aca="false">IF(D852="Kaltwasser",G852-F852,"")</f>
        <v/>
      </c>
      <c r="I852" s="155" t="str">
        <f aca="false">IF(D852="Warmwasser",G852-F852,"")</f>
        <v/>
      </c>
      <c r="J852" s="156" t="str">
        <f aca="false">IF(D852="ista",G852,"")</f>
        <v/>
      </c>
    </row>
    <row r="853" customFormat="false" ht="13.5" hidden="false" customHeight="false" outlineLevel="0" collapsed="false">
      <c r="A853" s="160"/>
      <c r="B853" s="160"/>
      <c r="C853" s="160"/>
      <c r="D853" s="160"/>
      <c r="E853" s="160"/>
      <c r="F853" s="161"/>
      <c r="G853" s="161"/>
      <c r="H853" s="155" t="str">
        <f aca="false">IF(D853="Kaltwasser",G853-F853,"")</f>
        <v/>
      </c>
      <c r="I853" s="155" t="str">
        <f aca="false">IF(D853="Warmwasser",G853-F853,"")</f>
        <v/>
      </c>
      <c r="J853" s="156" t="str">
        <f aca="false">IF(D853="ista",G853,"")</f>
        <v/>
      </c>
    </row>
    <row r="854" customFormat="false" ht="13.5" hidden="false" customHeight="false" outlineLevel="0" collapsed="false">
      <c r="A854" s="160"/>
      <c r="B854" s="160"/>
      <c r="C854" s="160"/>
      <c r="D854" s="160"/>
      <c r="E854" s="160"/>
      <c r="F854" s="161"/>
      <c r="G854" s="161"/>
      <c r="H854" s="155" t="str">
        <f aca="false">IF(D854="Kaltwasser",G854-F854,"")</f>
        <v/>
      </c>
      <c r="I854" s="155" t="str">
        <f aca="false">IF(D854="Warmwasser",G854-F854,"")</f>
        <v/>
      </c>
      <c r="J854" s="156" t="str">
        <f aca="false">IF(D854="ista",G854,"")</f>
        <v/>
      </c>
    </row>
    <row r="855" customFormat="false" ht="13.5" hidden="false" customHeight="false" outlineLevel="0" collapsed="false">
      <c r="A855" s="160"/>
      <c r="B855" s="160"/>
      <c r="C855" s="160"/>
      <c r="D855" s="160"/>
      <c r="E855" s="160"/>
      <c r="F855" s="161"/>
      <c r="G855" s="161"/>
      <c r="H855" s="155" t="str">
        <f aca="false">IF(D855="Kaltwasser",G855-F855,"")</f>
        <v/>
      </c>
      <c r="I855" s="155" t="str">
        <f aca="false">IF(D855="Warmwasser",G855-F855,"")</f>
        <v/>
      </c>
      <c r="J855" s="156" t="str">
        <f aca="false">IF(D855="ista",G855,"")</f>
        <v/>
      </c>
    </row>
    <row r="856" customFormat="false" ht="13.5" hidden="false" customHeight="false" outlineLevel="0" collapsed="false">
      <c r="A856" s="160"/>
      <c r="B856" s="160"/>
      <c r="C856" s="160"/>
      <c r="D856" s="160"/>
      <c r="E856" s="160"/>
      <c r="F856" s="161"/>
      <c r="G856" s="161"/>
      <c r="H856" s="155" t="str">
        <f aca="false">IF(D856="Kaltwasser",G856-F856,"")</f>
        <v/>
      </c>
      <c r="I856" s="155" t="str">
        <f aca="false">IF(D856="Warmwasser",G856-F856,"")</f>
        <v/>
      </c>
      <c r="J856" s="156" t="str">
        <f aca="false">IF(D856="ista",G856,"")</f>
        <v/>
      </c>
    </row>
    <row r="857" customFormat="false" ht="13.5" hidden="false" customHeight="false" outlineLevel="0" collapsed="false">
      <c r="A857" s="160"/>
      <c r="B857" s="160"/>
      <c r="C857" s="160"/>
      <c r="D857" s="160"/>
      <c r="E857" s="160"/>
      <c r="F857" s="161"/>
      <c r="G857" s="161"/>
      <c r="H857" s="155" t="str">
        <f aca="false">IF(D857="Kaltwasser",G857-F857,"")</f>
        <v/>
      </c>
      <c r="I857" s="155" t="str">
        <f aca="false">IF(D857="Warmwasser",G857-F857,"")</f>
        <v/>
      </c>
      <c r="J857" s="156" t="str">
        <f aca="false">IF(D857="ista",G857,"")</f>
        <v/>
      </c>
    </row>
    <row r="858" customFormat="false" ht="13.5" hidden="false" customHeight="false" outlineLevel="0" collapsed="false">
      <c r="A858" s="160"/>
      <c r="B858" s="160"/>
      <c r="C858" s="160"/>
      <c r="D858" s="160"/>
      <c r="E858" s="160"/>
      <c r="F858" s="161"/>
      <c r="G858" s="161"/>
      <c r="H858" s="155" t="str">
        <f aca="false">IF(D858="Kaltwasser",G858-F858,"")</f>
        <v/>
      </c>
      <c r="I858" s="155" t="str">
        <f aca="false">IF(D858="Warmwasser",G858-F858,"")</f>
        <v/>
      </c>
      <c r="J858" s="156" t="str">
        <f aca="false">IF(D858="ista",G858,"")</f>
        <v/>
      </c>
    </row>
    <row r="859" customFormat="false" ht="13.5" hidden="false" customHeight="false" outlineLevel="0" collapsed="false">
      <c r="A859" s="160"/>
      <c r="B859" s="160"/>
      <c r="C859" s="160"/>
      <c r="D859" s="160"/>
      <c r="E859" s="160"/>
      <c r="F859" s="161"/>
      <c r="G859" s="161"/>
      <c r="H859" s="155" t="str">
        <f aca="false">IF(D859="Kaltwasser",G859-F859,"")</f>
        <v/>
      </c>
      <c r="I859" s="155" t="str">
        <f aca="false">IF(D859="Warmwasser",G859-F859,"")</f>
        <v/>
      </c>
      <c r="J859" s="156" t="str">
        <f aca="false">IF(D859="ista",G859,"")</f>
        <v/>
      </c>
    </row>
    <row r="860" customFormat="false" ht="13.5" hidden="false" customHeight="false" outlineLevel="0" collapsed="false">
      <c r="A860" s="160"/>
      <c r="B860" s="160"/>
      <c r="C860" s="160"/>
      <c r="D860" s="160"/>
      <c r="E860" s="160"/>
      <c r="F860" s="161"/>
      <c r="G860" s="161"/>
      <c r="H860" s="155" t="str">
        <f aca="false">IF(D860="Kaltwasser",G860-F860,"")</f>
        <v/>
      </c>
      <c r="I860" s="155" t="str">
        <f aca="false">IF(D860="Warmwasser",G860-F860,"")</f>
        <v/>
      </c>
      <c r="J860" s="156" t="str">
        <f aca="false">IF(D860="ista",G860,"")</f>
        <v/>
      </c>
    </row>
    <row r="861" customFormat="false" ht="13.5" hidden="false" customHeight="false" outlineLevel="0" collapsed="false">
      <c r="A861" s="160"/>
      <c r="B861" s="160"/>
      <c r="C861" s="160"/>
      <c r="D861" s="160"/>
      <c r="E861" s="160"/>
      <c r="F861" s="161"/>
      <c r="G861" s="161"/>
      <c r="H861" s="155" t="str">
        <f aca="false">IF(D861="Kaltwasser",G861-F861,"")</f>
        <v/>
      </c>
      <c r="I861" s="155" t="str">
        <f aca="false">IF(D861="Warmwasser",G861-F861,"")</f>
        <v/>
      </c>
      <c r="J861" s="156" t="str">
        <f aca="false">IF(D861="ista",G861,"")</f>
        <v/>
      </c>
    </row>
    <row r="862" customFormat="false" ht="13.5" hidden="false" customHeight="false" outlineLevel="0" collapsed="false">
      <c r="A862" s="160"/>
      <c r="B862" s="160"/>
      <c r="C862" s="160"/>
      <c r="D862" s="160"/>
      <c r="E862" s="160"/>
      <c r="F862" s="161"/>
      <c r="G862" s="161"/>
      <c r="H862" s="155" t="str">
        <f aca="false">IF(D862="Kaltwasser",G862-F862,"")</f>
        <v/>
      </c>
      <c r="I862" s="155" t="str">
        <f aca="false">IF(D862="Warmwasser",G862-F862,"")</f>
        <v/>
      </c>
      <c r="J862" s="156" t="str">
        <f aca="false">IF(D862="ista",G862,"")</f>
        <v/>
      </c>
    </row>
    <row r="863" customFormat="false" ht="13.5" hidden="false" customHeight="false" outlineLevel="0" collapsed="false">
      <c r="A863" s="160"/>
      <c r="B863" s="160"/>
      <c r="C863" s="160"/>
      <c r="D863" s="160"/>
      <c r="E863" s="160"/>
      <c r="F863" s="161"/>
      <c r="G863" s="161"/>
      <c r="H863" s="155" t="str">
        <f aca="false">IF(D863="Kaltwasser",G863-F863,"")</f>
        <v/>
      </c>
      <c r="I863" s="155" t="str">
        <f aca="false">IF(D863="Warmwasser",G863-F863,"")</f>
        <v/>
      </c>
      <c r="J863" s="156" t="str">
        <f aca="false">IF(D863="ista",G863,"")</f>
        <v/>
      </c>
    </row>
    <row r="864" customFormat="false" ht="13.5" hidden="false" customHeight="false" outlineLevel="0" collapsed="false">
      <c r="A864" s="160"/>
      <c r="B864" s="160"/>
      <c r="C864" s="160"/>
      <c r="D864" s="160"/>
      <c r="E864" s="160"/>
      <c r="F864" s="161"/>
      <c r="G864" s="161"/>
      <c r="H864" s="155" t="str">
        <f aca="false">IF(D864="Kaltwasser",G864-F864,"")</f>
        <v/>
      </c>
      <c r="I864" s="155" t="str">
        <f aca="false">IF(D864="Warmwasser",G864-F864,"")</f>
        <v/>
      </c>
      <c r="J864" s="156" t="str">
        <f aca="false">IF(D864="ista",G864,"")</f>
        <v/>
      </c>
    </row>
    <row r="865" customFormat="false" ht="13.5" hidden="false" customHeight="false" outlineLevel="0" collapsed="false">
      <c r="A865" s="160"/>
      <c r="B865" s="160"/>
      <c r="C865" s="160"/>
      <c r="D865" s="160"/>
      <c r="E865" s="160"/>
      <c r="F865" s="161"/>
      <c r="G865" s="161"/>
      <c r="H865" s="155" t="str">
        <f aca="false">IF(D865="Kaltwasser",G865-F865,"")</f>
        <v/>
      </c>
      <c r="I865" s="155" t="str">
        <f aca="false">IF(D865="Warmwasser",G865-F865,"")</f>
        <v/>
      </c>
      <c r="J865" s="156" t="str">
        <f aca="false">IF(D865="ista",G865,"")</f>
        <v/>
      </c>
    </row>
    <row r="866" customFormat="false" ht="13.5" hidden="false" customHeight="false" outlineLevel="0" collapsed="false">
      <c r="A866" s="160"/>
      <c r="B866" s="160"/>
      <c r="C866" s="160"/>
      <c r="D866" s="160"/>
      <c r="E866" s="160"/>
      <c r="F866" s="161"/>
      <c r="G866" s="161"/>
      <c r="H866" s="155" t="str">
        <f aca="false">IF(D866="Kaltwasser",G866-F866,"")</f>
        <v/>
      </c>
      <c r="I866" s="155" t="str">
        <f aca="false">IF(D866="Warmwasser",G866-F866,"")</f>
        <v/>
      </c>
      <c r="J866" s="156" t="str">
        <f aca="false">IF(D866="ista",G866,"")</f>
        <v/>
      </c>
    </row>
    <row r="867" customFormat="false" ht="13.5" hidden="false" customHeight="false" outlineLevel="0" collapsed="false">
      <c r="A867" s="160"/>
      <c r="B867" s="160"/>
      <c r="C867" s="160"/>
      <c r="D867" s="160"/>
      <c r="E867" s="160"/>
      <c r="F867" s="161"/>
      <c r="G867" s="161"/>
      <c r="H867" s="155" t="str">
        <f aca="false">IF(D867="Kaltwasser",G867-F867,"")</f>
        <v/>
      </c>
      <c r="I867" s="155" t="str">
        <f aca="false">IF(D867="Warmwasser",G867-F867,"")</f>
        <v/>
      </c>
      <c r="J867" s="156" t="str">
        <f aca="false">IF(D867="ista",G867,"")</f>
        <v/>
      </c>
    </row>
    <row r="868" customFormat="false" ht="13.5" hidden="false" customHeight="false" outlineLevel="0" collapsed="false">
      <c r="A868" s="160"/>
      <c r="B868" s="160"/>
      <c r="C868" s="160"/>
      <c r="D868" s="160"/>
      <c r="E868" s="160"/>
      <c r="F868" s="161"/>
      <c r="G868" s="161"/>
      <c r="H868" s="155" t="str">
        <f aca="false">IF(D868="Kaltwasser",G868-F868,"")</f>
        <v/>
      </c>
      <c r="I868" s="155" t="str">
        <f aca="false">IF(D868="Warmwasser",G868-F868,"")</f>
        <v/>
      </c>
      <c r="J868" s="156" t="str">
        <f aca="false">IF(D868="ista",G868,"")</f>
        <v/>
      </c>
    </row>
    <row r="869" customFormat="false" ht="13.5" hidden="false" customHeight="false" outlineLevel="0" collapsed="false">
      <c r="A869" s="160"/>
      <c r="B869" s="160"/>
      <c r="C869" s="160"/>
      <c r="D869" s="160"/>
      <c r="E869" s="160"/>
      <c r="F869" s="161"/>
      <c r="G869" s="161"/>
      <c r="H869" s="155" t="str">
        <f aca="false">IF(D869="Kaltwasser",G869-F869,"")</f>
        <v/>
      </c>
      <c r="I869" s="155" t="str">
        <f aca="false">IF(D869="Warmwasser",G869-F869,"")</f>
        <v/>
      </c>
      <c r="J869" s="156" t="str">
        <f aca="false">IF(D869="ista",G869,"")</f>
        <v/>
      </c>
    </row>
    <row r="870" customFormat="false" ht="13.5" hidden="false" customHeight="false" outlineLevel="0" collapsed="false">
      <c r="A870" s="160"/>
      <c r="B870" s="160"/>
      <c r="C870" s="160"/>
      <c r="D870" s="160"/>
      <c r="E870" s="160"/>
      <c r="F870" s="161"/>
      <c r="G870" s="161"/>
      <c r="H870" s="155" t="str">
        <f aca="false">IF(D870="Kaltwasser",G870-F870,"")</f>
        <v/>
      </c>
      <c r="I870" s="155" t="str">
        <f aca="false">IF(D870="Warmwasser",G870-F870,"")</f>
        <v/>
      </c>
      <c r="J870" s="156" t="str">
        <f aca="false">IF(D870="ista",G870,"")</f>
        <v/>
      </c>
    </row>
    <row r="871" customFormat="false" ht="13.5" hidden="false" customHeight="false" outlineLevel="0" collapsed="false">
      <c r="A871" s="160"/>
      <c r="B871" s="160"/>
      <c r="C871" s="160"/>
      <c r="D871" s="160"/>
      <c r="E871" s="160"/>
      <c r="F871" s="161"/>
      <c r="G871" s="161"/>
      <c r="H871" s="155" t="str">
        <f aca="false">IF(D871="Kaltwasser",G871-F871,"")</f>
        <v/>
      </c>
      <c r="I871" s="155" t="str">
        <f aca="false">IF(D871="Warmwasser",G871-F871,"")</f>
        <v/>
      </c>
      <c r="J871" s="156" t="str">
        <f aca="false">IF(D871="ista",G871,"")</f>
        <v/>
      </c>
    </row>
    <row r="872" customFormat="false" ht="13.5" hidden="false" customHeight="false" outlineLevel="0" collapsed="false">
      <c r="A872" s="160"/>
      <c r="B872" s="160"/>
      <c r="C872" s="160"/>
      <c r="D872" s="160"/>
      <c r="E872" s="160"/>
      <c r="F872" s="161"/>
      <c r="G872" s="161"/>
      <c r="H872" s="155" t="str">
        <f aca="false">IF(D872="Kaltwasser",G872-F872,"")</f>
        <v/>
      </c>
      <c r="I872" s="155" t="str">
        <f aca="false">IF(D872="Warmwasser",G872-F872,"")</f>
        <v/>
      </c>
      <c r="J872" s="156" t="str">
        <f aca="false">IF(D872="ista",G872,"")</f>
        <v/>
      </c>
    </row>
    <row r="873" customFormat="false" ht="13.5" hidden="false" customHeight="false" outlineLevel="0" collapsed="false">
      <c r="A873" s="160"/>
      <c r="B873" s="160"/>
      <c r="C873" s="160"/>
      <c r="D873" s="160"/>
      <c r="E873" s="160"/>
      <c r="F873" s="161"/>
      <c r="G873" s="161"/>
      <c r="H873" s="155" t="str">
        <f aca="false">IF(D873="Kaltwasser",G873-F873,"")</f>
        <v/>
      </c>
      <c r="I873" s="155" t="str">
        <f aca="false">IF(D873="Warmwasser",G873-F873,"")</f>
        <v/>
      </c>
      <c r="J873" s="156" t="str">
        <f aca="false">IF(D873="ista",G873,"")</f>
        <v/>
      </c>
    </row>
    <row r="874" customFormat="false" ht="13.5" hidden="false" customHeight="false" outlineLevel="0" collapsed="false">
      <c r="A874" s="160"/>
      <c r="B874" s="160"/>
      <c r="C874" s="160"/>
      <c r="D874" s="160"/>
      <c r="E874" s="160"/>
      <c r="F874" s="161"/>
      <c r="G874" s="161"/>
      <c r="H874" s="155" t="str">
        <f aca="false">IF(D874="Kaltwasser",G874-F874,"")</f>
        <v/>
      </c>
      <c r="I874" s="155" t="str">
        <f aca="false">IF(D874="Warmwasser",G874-F874,"")</f>
        <v/>
      </c>
      <c r="J874" s="156" t="str">
        <f aca="false">IF(D874="ista",G874,"")</f>
        <v/>
      </c>
    </row>
    <row r="875" customFormat="false" ht="13.5" hidden="false" customHeight="false" outlineLevel="0" collapsed="false">
      <c r="A875" s="160"/>
      <c r="B875" s="160"/>
      <c r="C875" s="160"/>
      <c r="D875" s="160"/>
      <c r="E875" s="160"/>
      <c r="F875" s="161"/>
      <c r="G875" s="161"/>
      <c r="H875" s="155" t="str">
        <f aca="false">IF(D875="Kaltwasser",G875-F875,"")</f>
        <v/>
      </c>
      <c r="I875" s="155" t="str">
        <f aca="false">IF(D875="Warmwasser",G875-F875,"")</f>
        <v/>
      </c>
      <c r="J875" s="156" t="str">
        <f aca="false">IF(D875="ista",G875,"")</f>
        <v/>
      </c>
    </row>
    <row r="876" customFormat="false" ht="13.5" hidden="false" customHeight="false" outlineLevel="0" collapsed="false">
      <c r="A876" s="160"/>
      <c r="B876" s="160"/>
      <c r="C876" s="160"/>
      <c r="D876" s="160"/>
      <c r="E876" s="160"/>
      <c r="F876" s="161"/>
      <c r="G876" s="161"/>
      <c r="H876" s="155" t="str">
        <f aca="false">IF(D876="Kaltwasser",G876-F876,"")</f>
        <v/>
      </c>
      <c r="I876" s="155" t="str">
        <f aca="false">IF(D876="Warmwasser",G876-F876,"")</f>
        <v/>
      </c>
      <c r="J876" s="156" t="str">
        <f aca="false">IF(D876="ista",G876,"")</f>
        <v/>
      </c>
    </row>
    <row r="877" customFormat="false" ht="13.5" hidden="false" customHeight="false" outlineLevel="0" collapsed="false">
      <c r="A877" s="160"/>
      <c r="B877" s="160"/>
      <c r="C877" s="160"/>
      <c r="D877" s="160"/>
      <c r="E877" s="160"/>
      <c r="F877" s="161"/>
      <c r="G877" s="161"/>
      <c r="H877" s="155" t="str">
        <f aca="false">IF(D877="Kaltwasser",G877-F877,"")</f>
        <v/>
      </c>
      <c r="I877" s="155" t="str">
        <f aca="false">IF(D877="Warmwasser",G877-F877,"")</f>
        <v/>
      </c>
      <c r="J877" s="156" t="str">
        <f aca="false">IF(D877="ista",G877,"")</f>
        <v/>
      </c>
    </row>
    <row r="878" customFormat="false" ht="13.5" hidden="false" customHeight="false" outlineLevel="0" collapsed="false">
      <c r="A878" s="160"/>
      <c r="B878" s="160"/>
      <c r="C878" s="160"/>
      <c r="D878" s="160"/>
      <c r="E878" s="160"/>
      <c r="F878" s="161"/>
      <c r="G878" s="161"/>
      <c r="H878" s="155" t="str">
        <f aca="false">IF(D878="Kaltwasser",G878-F878,"")</f>
        <v/>
      </c>
      <c r="I878" s="155" t="str">
        <f aca="false">IF(D878="Warmwasser",G878-F878,"")</f>
        <v/>
      </c>
      <c r="J878" s="156" t="str">
        <f aca="false">IF(D878="ista",G878,"")</f>
        <v/>
      </c>
    </row>
    <row r="879" customFormat="false" ht="13.5" hidden="false" customHeight="false" outlineLevel="0" collapsed="false">
      <c r="A879" s="160"/>
      <c r="B879" s="160"/>
      <c r="C879" s="160"/>
      <c r="D879" s="160"/>
      <c r="E879" s="160"/>
      <c r="F879" s="161"/>
      <c r="G879" s="161"/>
      <c r="H879" s="155" t="str">
        <f aca="false">IF(D879="Kaltwasser",G879-F879,"")</f>
        <v/>
      </c>
      <c r="I879" s="155" t="str">
        <f aca="false">IF(D879="Warmwasser",G879-F879,"")</f>
        <v/>
      </c>
      <c r="J879" s="156" t="str">
        <f aca="false">IF(D879="ista",G879,"")</f>
        <v/>
      </c>
    </row>
    <row r="880" customFormat="false" ht="13.5" hidden="false" customHeight="false" outlineLevel="0" collapsed="false">
      <c r="A880" s="160"/>
      <c r="B880" s="160"/>
      <c r="C880" s="160"/>
      <c r="D880" s="160"/>
      <c r="E880" s="160"/>
      <c r="F880" s="161"/>
      <c r="G880" s="161"/>
      <c r="H880" s="155" t="str">
        <f aca="false">IF(D880="Kaltwasser",G880-F880,"")</f>
        <v/>
      </c>
      <c r="I880" s="155" t="str">
        <f aca="false">IF(D880="Warmwasser",G880-F880,"")</f>
        <v/>
      </c>
      <c r="J880" s="156" t="str">
        <f aca="false">IF(D880="ista",G880,"")</f>
        <v/>
      </c>
    </row>
    <row r="881" customFormat="false" ht="13.5" hidden="false" customHeight="false" outlineLevel="0" collapsed="false">
      <c r="A881" s="160"/>
      <c r="B881" s="160"/>
      <c r="C881" s="160"/>
      <c r="D881" s="160"/>
      <c r="E881" s="160"/>
      <c r="F881" s="161"/>
      <c r="G881" s="161"/>
      <c r="H881" s="155" t="str">
        <f aca="false">IF(D881="Kaltwasser",G881-F881,"")</f>
        <v/>
      </c>
      <c r="I881" s="155" t="str">
        <f aca="false">IF(D881="Warmwasser",G881-F881,"")</f>
        <v/>
      </c>
      <c r="J881" s="156" t="str">
        <f aca="false">IF(D881="ista",G881,"")</f>
        <v/>
      </c>
    </row>
    <row r="882" customFormat="false" ht="13.5" hidden="false" customHeight="false" outlineLevel="0" collapsed="false">
      <c r="A882" s="160"/>
      <c r="B882" s="160"/>
      <c r="C882" s="160"/>
      <c r="D882" s="160"/>
      <c r="E882" s="160"/>
      <c r="F882" s="161"/>
      <c r="G882" s="161"/>
      <c r="H882" s="155" t="str">
        <f aca="false">IF(D882="Kaltwasser",G882-F882,"")</f>
        <v/>
      </c>
      <c r="I882" s="155" t="str">
        <f aca="false">IF(D882="Warmwasser",G882-F882,"")</f>
        <v/>
      </c>
      <c r="J882" s="156" t="str">
        <f aca="false">IF(D882="ista",G882,"")</f>
        <v/>
      </c>
    </row>
    <row r="883" customFormat="false" ht="13.5" hidden="false" customHeight="false" outlineLevel="0" collapsed="false">
      <c r="A883" s="160"/>
      <c r="B883" s="160"/>
      <c r="C883" s="160"/>
      <c r="D883" s="160"/>
      <c r="E883" s="160"/>
      <c r="F883" s="161"/>
      <c r="G883" s="161"/>
      <c r="H883" s="155" t="str">
        <f aca="false">IF(D883="Kaltwasser",G883-F883,"")</f>
        <v/>
      </c>
      <c r="I883" s="155" t="str">
        <f aca="false">IF(D883="Warmwasser",G883-F883,"")</f>
        <v/>
      </c>
      <c r="J883" s="156" t="str">
        <f aca="false">IF(D883="ista",G883,"")</f>
        <v/>
      </c>
    </row>
    <row r="884" customFormat="false" ht="13.5" hidden="false" customHeight="false" outlineLevel="0" collapsed="false">
      <c r="A884" s="160"/>
      <c r="B884" s="160"/>
      <c r="C884" s="160"/>
      <c r="D884" s="160"/>
      <c r="E884" s="160"/>
      <c r="F884" s="161"/>
      <c r="G884" s="161"/>
      <c r="H884" s="155" t="str">
        <f aca="false">IF(D884="Kaltwasser",G884-F884,"")</f>
        <v/>
      </c>
      <c r="I884" s="155" t="str">
        <f aca="false">IF(D884="Warmwasser",G884-F884,"")</f>
        <v/>
      </c>
      <c r="J884" s="156" t="str">
        <f aca="false">IF(D884="ista",G884,"")</f>
        <v/>
      </c>
    </row>
    <row r="885" customFormat="false" ht="13.5" hidden="false" customHeight="false" outlineLevel="0" collapsed="false">
      <c r="A885" s="160"/>
      <c r="B885" s="160"/>
      <c r="C885" s="160"/>
      <c r="D885" s="160"/>
      <c r="E885" s="160"/>
      <c r="F885" s="161"/>
      <c r="G885" s="161"/>
      <c r="H885" s="155" t="str">
        <f aca="false">IF(D885="Kaltwasser",G885-F885,"")</f>
        <v/>
      </c>
      <c r="I885" s="155" t="str">
        <f aca="false">IF(D885="Warmwasser",G885-F885,"")</f>
        <v/>
      </c>
      <c r="J885" s="156" t="str">
        <f aca="false">IF(D885="ista",G885,"")</f>
        <v/>
      </c>
    </row>
    <row r="886" customFormat="false" ht="13.5" hidden="false" customHeight="false" outlineLevel="0" collapsed="false">
      <c r="A886" s="160"/>
      <c r="B886" s="160"/>
      <c r="C886" s="160"/>
      <c r="D886" s="160"/>
      <c r="E886" s="160"/>
      <c r="F886" s="161"/>
      <c r="G886" s="161"/>
      <c r="H886" s="155" t="str">
        <f aca="false">IF(D886="Kaltwasser",G886-F886,"")</f>
        <v/>
      </c>
      <c r="I886" s="155" t="str">
        <f aca="false">IF(D886="Warmwasser",G886-F886,"")</f>
        <v/>
      </c>
      <c r="J886" s="156" t="str">
        <f aca="false">IF(D886="ista",G886,"")</f>
        <v/>
      </c>
    </row>
    <row r="887" customFormat="false" ht="13.5" hidden="false" customHeight="false" outlineLevel="0" collapsed="false">
      <c r="A887" s="160"/>
      <c r="B887" s="160"/>
      <c r="C887" s="160"/>
      <c r="D887" s="160"/>
      <c r="E887" s="160"/>
      <c r="F887" s="161"/>
      <c r="G887" s="161"/>
      <c r="H887" s="155" t="str">
        <f aca="false">IF(D887="Kaltwasser",G887-F887,"")</f>
        <v/>
      </c>
      <c r="I887" s="155" t="str">
        <f aca="false">IF(D887="Warmwasser",G887-F887,"")</f>
        <v/>
      </c>
      <c r="J887" s="156" t="str">
        <f aca="false">IF(D887="ista",G887,"")</f>
        <v/>
      </c>
    </row>
    <row r="888" customFormat="false" ht="13.5" hidden="false" customHeight="false" outlineLevel="0" collapsed="false">
      <c r="A888" s="160"/>
      <c r="B888" s="160"/>
      <c r="C888" s="160"/>
      <c r="D888" s="160"/>
      <c r="E888" s="160"/>
      <c r="F888" s="161"/>
      <c r="G888" s="161"/>
      <c r="H888" s="155" t="str">
        <f aca="false">IF(D888="Kaltwasser",G888-F888,"")</f>
        <v/>
      </c>
      <c r="I888" s="155" t="str">
        <f aca="false">IF(D888="Warmwasser",G888-F888,"")</f>
        <v/>
      </c>
      <c r="J888" s="156" t="str">
        <f aca="false">IF(D888="ista",G888,"")</f>
        <v/>
      </c>
    </row>
    <row r="889" customFormat="false" ht="13.5" hidden="false" customHeight="false" outlineLevel="0" collapsed="false">
      <c r="A889" s="160"/>
      <c r="B889" s="160"/>
      <c r="C889" s="160"/>
      <c r="D889" s="160"/>
      <c r="E889" s="160"/>
      <c r="F889" s="161"/>
      <c r="G889" s="161"/>
      <c r="H889" s="155" t="str">
        <f aca="false">IF(D889="Kaltwasser",G889-F889,"")</f>
        <v/>
      </c>
      <c r="I889" s="155" t="str">
        <f aca="false">IF(D889="Warmwasser",G889-F889,"")</f>
        <v/>
      </c>
      <c r="J889" s="156" t="str">
        <f aca="false">IF(D889="ista",G889,"")</f>
        <v/>
      </c>
    </row>
    <row r="890" customFormat="false" ht="13.5" hidden="false" customHeight="false" outlineLevel="0" collapsed="false">
      <c r="A890" s="160"/>
      <c r="B890" s="160"/>
      <c r="C890" s="160"/>
      <c r="D890" s="160"/>
      <c r="E890" s="160"/>
      <c r="F890" s="161"/>
      <c r="G890" s="161"/>
      <c r="H890" s="155" t="str">
        <f aca="false">IF(D890="Kaltwasser",G890-F890,"")</f>
        <v/>
      </c>
      <c r="I890" s="155" t="str">
        <f aca="false">IF(D890="Warmwasser",G890-F890,"")</f>
        <v/>
      </c>
      <c r="J890" s="156" t="str">
        <f aca="false">IF(D890="ista",G890,"")</f>
        <v/>
      </c>
    </row>
    <row r="891" customFormat="false" ht="13.5" hidden="false" customHeight="false" outlineLevel="0" collapsed="false">
      <c r="A891" s="160"/>
      <c r="B891" s="160"/>
      <c r="C891" s="160"/>
      <c r="D891" s="160"/>
      <c r="E891" s="160"/>
      <c r="F891" s="161"/>
      <c r="G891" s="161"/>
      <c r="H891" s="155" t="str">
        <f aca="false">IF(D891="Kaltwasser",G891-F891,"")</f>
        <v/>
      </c>
      <c r="I891" s="155" t="str">
        <f aca="false">IF(D891="Warmwasser",G891-F891,"")</f>
        <v/>
      </c>
      <c r="J891" s="156" t="str">
        <f aca="false">IF(D891="ista",G891,"")</f>
        <v/>
      </c>
    </row>
    <row r="892" customFormat="false" ht="13.5" hidden="false" customHeight="false" outlineLevel="0" collapsed="false">
      <c r="A892" s="160"/>
      <c r="B892" s="160"/>
      <c r="C892" s="160"/>
      <c r="D892" s="160"/>
      <c r="E892" s="160"/>
      <c r="F892" s="161"/>
      <c r="G892" s="161"/>
      <c r="H892" s="155" t="str">
        <f aca="false">IF(D892="Kaltwasser",G892-F892,"")</f>
        <v/>
      </c>
      <c r="I892" s="155" t="str">
        <f aca="false">IF(D892="Warmwasser",G892-F892,"")</f>
        <v/>
      </c>
      <c r="J892" s="156" t="str">
        <f aca="false">IF(D892="ista",G892,"")</f>
        <v/>
      </c>
    </row>
    <row r="893" customFormat="false" ht="13.5" hidden="false" customHeight="false" outlineLevel="0" collapsed="false">
      <c r="A893" s="160"/>
      <c r="B893" s="160"/>
      <c r="C893" s="160"/>
      <c r="D893" s="160"/>
      <c r="E893" s="160"/>
      <c r="F893" s="161"/>
      <c r="G893" s="161"/>
      <c r="H893" s="155" t="str">
        <f aca="false">IF(D893="Kaltwasser",G893-F893,"")</f>
        <v/>
      </c>
      <c r="I893" s="155" t="str">
        <f aca="false">IF(D893="Warmwasser",G893-F893,"")</f>
        <v/>
      </c>
      <c r="J893" s="156" t="str">
        <f aca="false">IF(D893="ista",G893,"")</f>
        <v/>
      </c>
    </row>
    <row r="894" customFormat="false" ht="13.5" hidden="false" customHeight="false" outlineLevel="0" collapsed="false">
      <c r="A894" s="160"/>
      <c r="B894" s="160"/>
      <c r="C894" s="160"/>
      <c r="D894" s="160"/>
      <c r="E894" s="160"/>
      <c r="F894" s="161"/>
      <c r="G894" s="161"/>
      <c r="H894" s="155" t="str">
        <f aca="false">IF(D894="Kaltwasser",G894-F894,"")</f>
        <v/>
      </c>
      <c r="I894" s="155" t="str">
        <f aca="false">IF(D894="Warmwasser",G894-F894,"")</f>
        <v/>
      </c>
      <c r="J894" s="156" t="str">
        <f aca="false">IF(D894="ista",G894,"")</f>
        <v/>
      </c>
    </row>
    <row r="895" customFormat="false" ht="13.5" hidden="false" customHeight="false" outlineLevel="0" collapsed="false">
      <c r="A895" s="160"/>
      <c r="B895" s="160"/>
      <c r="C895" s="160"/>
      <c r="D895" s="160"/>
      <c r="E895" s="160"/>
      <c r="F895" s="161"/>
      <c r="G895" s="161"/>
      <c r="H895" s="155" t="str">
        <f aca="false">IF(D895="Kaltwasser",G895-F895,"")</f>
        <v/>
      </c>
      <c r="I895" s="155" t="str">
        <f aca="false">IF(D895="Warmwasser",G895-F895,"")</f>
        <v/>
      </c>
      <c r="J895" s="156" t="str">
        <f aca="false">IF(D895="ista",G895,"")</f>
        <v/>
      </c>
    </row>
    <row r="896" customFormat="false" ht="13.5" hidden="false" customHeight="false" outlineLevel="0" collapsed="false">
      <c r="A896" s="160"/>
      <c r="B896" s="160"/>
      <c r="C896" s="160"/>
      <c r="D896" s="160"/>
      <c r="E896" s="160"/>
      <c r="F896" s="161"/>
      <c r="G896" s="161"/>
      <c r="H896" s="155" t="str">
        <f aca="false">IF(D896="Kaltwasser",G896-F896,"")</f>
        <v/>
      </c>
      <c r="I896" s="155" t="str">
        <f aca="false">IF(D896="Warmwasser",G896-F896,"")</f>
        <v/>
      </c>
      <c r="J896" s="156" t="str">
        <f aca="false">IF(D896="ista",G896,"")</f>
        <v/>
      </c>
    </row>
    <row r="897" customFormat="false" ht="13.5" hidden="false" customHeight="false" outlineLevel="0" collapsed="false">
      <c r="A897" s="160"/>
      <c r="B897" s="160"/>
      <c r="C897" s="160"/>
      <c r="D897" s="160"/>
      <c r="E897" s="160"/>
      <c r="F897" s="161"/>
      <c r="G897" s="161"/>
      <c r="H897" s="155" t="str">
        <f aca="false">IF(D897="Kaltwasser",G897-F897,"")</f>
        <v/>
      </c>
      <c r="I897" s="155" t="str">
        <f aca="false">IF(D897="Warmwasser",G897-F897,"")</f>
        <v/>
      </c>
      <c r="J897" s="156" t="str">
        <f aca="false">IF(D897="ista",G897,"")</f>
        <v/>
      </c>
    </row>
    <row r="898" customFormat="false" ht="13.5" hidden="false" customHeight="false" outlineLevel="0" collapsed="false">
      <c r="A898" s="160"/>
      <c r="B898" s="160"/>
      <c r="C898" s="160"/>
      <c r="D898" s="160"/>
      <c r="E898" s="160"/>
      <c r="F898" s="161"/>
      <c r="G898" s="161"/>
      <c r="H898" s="155" t="str">
        <f aca="false">IF(D898="Kaltwasser",G898-F898,"")</f>
        <v/>
      </c>
      <c r="I898" s="155" t="str">
        <f aca="false">IF(D898="Warmwasser",G898-F898,"")</f>
        <v/>
      </c>
      <c r="J898" s="156" t="str">
        <f aca="false">IF(D898="ista",G898,"")</f>
        <v/>
      </c>
    </row>
    <row r="899" customFormat="false" ht="13.5" hidden="false" customHeight="false" outlineLevel="0" collapsed="false">
      <c r="A899" s="160"/>
      <c r="B899" s="160"/>
      <c r="C899" s="160"/>
      <c r="D899" s="160"/>
      <c r="E899" s="160"/>
      <c r="F899" s="161"/>
      <c r="G899" s="161"/>
      <c r="H899" s="155" t="str">
        <f aca="false">IF(D899="Kaltwasser",G899-F899,"")</f>
        <v/>
      </c>
      <c r="I899" s="155" t="str">
        <f aca="false">IF(D899="Warmwasser",G899-F899,"")</f>
        <v/>
      </c>
      <c r="J899" s="156" t="str">
        <f aca="false">IF(D899="ista",G899,"")</f>
        <v/>
      </c>
    </row>
    <row r="900" customFormat="false" ht="13.5" hidden="false" customHeight="false" outlineLevel="0" collapsed="false">
      <c r="A900" s="160"/>
      <c r="B900" s="160"/>
      <c r="C900" s="160"/>
      <c r="D900" s="160"/>
      <c r="E900" s="160"/>
      <c r="F900" s="161"/>
      <c r="G900" s="161"/>
      <c r="H900" s="155" t="str">
        <f aca="false">IF(D900="Kaltwasser",G900-F900,"")</f>
        <v/>
      </c>
      <c r="I900" s="155" t="str">
        <f aca="false">IF(D900="Warmwasser",G900-F900,"")</f>
        <v/>
      </c>
      <c r="J900" s="156" t="str">
        <f aca="false">IF(D900="ista",G900,"")</f>
        <v/>
      </c>
    </row>
    <row r="901" customFormat="false" ht="13.5" hidden="false" customHeight="false" outlineLevel="0" collapsed="false">
      <c r="A901" s="160"/>
      <c r="B901" s="160"/>
      <c r="C901" s="160"/>
      <c r="D901" s="160"/>
      <c r="E901" s="160"/>
      <c r="F901" s="161"/>
      <c r="G901" s="161"/>
      <c r="H901" s="155" t="str">
        <f aca="false">IF(D901="Kaltwasser",G901-F901,"")</f>
        <v/>
      </c>
      <c r="I901" s="155" t="str">
        <f aca="false">IF(D901="Warmwasser",G901-F901,"")</f>
        <v/>
      </c>
      <c r="J901" s="156" t="str">
        <f aca="false">IF(D901="ista",G901,"")</f>
        <v/>
      </c>
    </row>
    <row r="902" customFormat="false" ht="13.5" hidden="false" customHeight="false" outlineLevel="0" collapsed="false">
      <c r="A902" s="160"/>
      <c r="B902" s="160"/>
      <c r="C902" s="160"/>
      <c r="D902" s="160"/>
      <c r="E902" s="160"/>
      <c r="F902" s="161"/>
      <c r="G902" s="161"/>
      <c r="H902" s="155" t="str">
        <f aca="false">IF(D902="Kaltwasser",G902-F902,"")</f>
        <v/>
      </c>
      <c r="I902" s="155" t="str">
        <f aca="false">IF(D902="Warmwasser",G902-F902,"")</f>
        <v/>
      </c>
      <c r="J902" s="156" t="str">
        <f aca="false">IF(D902="ista",G902,"")</f>
        <v/>
      </c>
    </row>
    <row r="903" customFormat="false" ht="13.5" hidden="false" customHeight="false" outlineLevel="0" collapsed="false">
      <c r="A903" s="160"/>
      <c r="B903" s="160"/>
      <c r="C903" s="160"/>
      <c r="D903" s="160"/>
      <c r="E903" s="160"/>
      <c r="F903" s="161"/>
      <c r="G903" s="161"/>
      <c r="H903" s="155" t="str">
        <f aca="false">IF(D903="Kaltwasser",G903-F903,"")</f>
        <v/>
      </c>
      <c r="I903" s="155" t="str">
        <f aca="false">IF(D903="Warmwasser",G903-F903,"")</f>
        <v/>
      </c>
      <c r="J903" s="156" t="str">
        <f aca="false">IF(D903="ista",G903,"")</f>
        <v/>
      </c>
    </row>
    <row r="904" customFormat="false" ht="13.5" hidden="false" customHeight="false" outlineLevel="0" collapsed="false">
      <c r="A904" s="160"/>
      <c r="B904" s="160"/>
      <c r="C904" s="160"/>
      <c r="D904" s="160"/>
      <c r="E904" s="160"/>
      <c r="F904" s="161"/>
      <c r="G904" s="161"/>
      <c r="H904" s="155" t="str">
        <f aca="false">IF(D904="Kaltwasser",G904-F904,"")</f>
        <v/>
      </c>
      <c r="I904" s="155" t="str">
        <f aca="false">IF(D904="Warmwasser",G904-F904,"")</f>
        <v/>
      </c>
      <c r="J904" s="156" t="str">
        <f aca="false">IF(D904="ista",G904,"")</f>
        <v/>
      </c>
    </row>
    <row r="905" customFormat="false" ht="13.5" hidden="false" customHeight="false" outlineLevel="0" collapsed="false">
      <c r="A905" s="160"/>
      <c r="B905" s="160"/>
      <c r="C905" s="160"/>
      <c r="D905" s="160"/>
      <c r="E905" s="160"/>
      <c r="F905" s="161"/>
      <c r="G905" s="161"/>
      <c r="H905" s="155" t="str">
        <f aca="false">IF(D905="Kaltwasser",G905-F905,"")</f>
        <v/>
      </c>
      <c r="I905" s="155" t="str">
        <f aca="false">IF(D905="Warmwasser",G905-F905,"")</f>
        <v/>
      </c>
      <c r="J905" s="156" t="str">
        <f aca="false">IF(D905="ista",G905,"")</f>
        <v/>
      </c>
    </row>
    <row r="906" customFormat="false" ht="13.5" hidden="false" customHeight="false" outlineLevel="0" collapsed="false">
      <c r="A906" s="160"/>
      <c r="B906" s="160"/>
      <c r="C906" s="160"/>
      <c r="D906" s="160"/>
      <c r="E906" s="160"/>
      <c r="F906" s="161"/>
      <c r="G906" s="161"/>
      <c r="H906" s="155" t="str">
        <f aca="false">IF(D906="Kaltwasser",G906-F906,"")</f>
        <v/>
      </c>
      <c r="I906" s="155" t="str">
        <f aca="false">IF(D906="Warmwasser",G906-F906,"")</f>
        <v/>
      </c>
      <c r="J906" s="156" t="str">
        <f aca="false">IF(D906="ista",G906,"")</f>
        <v/>
      </c>
    </row>
    <row r="907" customFormat="false" ht="13.5" hidden="false" customHeight="false" outlineLevel="0" collapsed="false">
      <c r="A907" s="160"/>
      <c r="B907" s="160"/>
      <c r="C907" s="160"/>
      <c r="D907" s="160"/>
      <c r="E907" s="160"/>
      <c r="F907" s="161"/>
      <c r="G907" s="161"/>
      <c r="H907" s="155" t="str">
        <f aca="false">IF(D907="Kaltwasser",G907-F907,"")</f>
        <v/>
      </c>
      <c r="I907" s="155" t="str">
        <f aca="false">IF(D907="Warmwasser",G907-F907,"")</f>
        <v/>
      </c>
      <c r="J907" s="156" t="str">
        <f aca="false">IF(D907="ista",G907,"")</f>
        <v/>
      </c>
    </row>
    <row r="908" customFormat="false" ht="13.5" hidden="false" customHeight="false" outlineLevel="0" collapsed="false">
      <c r="A908" s="160"/>
      <c r="B908" s="160"/>
      <c r="C908" s="160"/>
      <c r="D908" s="160"/>
      <c r="E908" s="160"/>
      <c r="F908" s="161"/>
      <c r="G908" s="161"/>
      <c r="H908" s="155" t="str">
        <f aca="false">IF(D908="Kaltwasser",G908-F908,"")</f>
        <v/>
      </c>
      <c r="I908" s="155" t="str">
        <f aca="false">IF(D908="Warmwasser",G908-F908,"")</f>
        <v/>
      </c>
      <c r="J908" s="156" t="str">
        <f aca="false">IF(D908="ista",G908,"")</f>
        <v/>
      </c>
    </row>
    <row r="909" customFormat="false" ht="13.5" hidden="false" customHeight="false" outlineLevel="0" collapsed="false">
      <c r="A909" s="160"/>
      <c r="B909" s="160"/>
      <c r="C909" s="160"/>
      <c r="D909" s="160"/>
      <c r="E909" s="160"/>
      <c r="F909" s="161"/>
      <c r="G909" s="161"/>
      <c r="H909" s="155" t="str">
        <f aca="false">IF(D909="Kaltwasser",G909-F909,"")</f>
        <v/>
      </c>
      <c r="I909" s="155" t="str">
        <f aca="false">IF(D909="Warmwasser",G909-F909,"")</f>
        <v/>
      </c>
      <c r="J909" s="156" t="str">
        <f aca="false">IF(D909="ista",G909,"")</f>
        <v/>
      </c>
    </row>
    <row r="910" customFormat="false" ht="13.5" hidden="false" customHeight="false" outlineLevel="0" collapsed="false">
      <c r="A910" s="160"/>
      <c r="B910" s="160"/>
      <c r="C910" s="160"/>
      <c r="D910" s="160"/>
      <c r="E910" s="160"/>
      <c r="F910" s="161"/>
      <c r="G910" s="161"/>
      <c r="H910" s="155" t="str">
        <f aca="false">IF(D910="Kaltwasser",G910-F910,"")</f>
        <v/>
      </c>
      <c r="I910" s="155" t="str">
        <f aca="false">IF(D910="Warmwasser",G910-F910,"")</f>
        <v/>
      </c>
      <c r="J910" s="156" t="str">
        <f aca="false">IF(D910="ista",G910,"")</f>
        <v/>
      </c>
    </row>
    <row r="911" customFormat="false" ht="13.5" hidden="false" customHeight="false" outlineLevel="0" collapsed="false">
      <c r="A911" s="160"/>
      <c r="B911" s="160"/>
      <c r="C911" s="160"/>
      <c r="D911" s="160"/>
      <c r="E911" s="160"/>
      <c r="F911" s="161"/>
      <c r="G911" s="161"/>
      <c r="H911" s="155" t="str">
        <f aca="false">IF(D911="Kaltwasser",G911-F911,"")</f>
        <v/>
      </c>
      <c r="I911" s="155" t="str">
        <f aca="false">IF(D911="Warmwasser",G911-F911,"")</f>
        <v/>
      </c>
      <c r="J911" s="156" t="str">
        <f aca="false">IF(D911="ista",G911,"")</f>
        <v/>
      </c>
    </row>
    <row r="912" customFormat="false" ht="13.5" hidden="false" customHeight="false" outlineLevel="0" collapsed="false">
      <c r="A912" s="160"/>
      <c r="B912" s="160"/>
      <c r="C912" s="160"/>
      <c r="D912" s="160"/>
      <c r="E912" s="160"/>
      <c r="F912" s="161"/>
      <c r="G912" s="161"/>
      <c r="H912" s="155" t="str">
        <f aca="false">IF(D912="Kaltwasser",G912-F912,"")</f>
        <v/>
      </c>
      <c r="I912" s="155" t="str">
        <f aca="false">IF(D912="Warmwasser",G912-F912,"")</f>
        <v/>
      </c>
      <c r="J912" s="156" t="str">
        <f aca="false">IF(D912="ista",G912,"")</f>
        <v/>
      </c>
    </row>
    <row r="913" customFormat="false" ht="13.5" hidden="false" customHeight="false" outlineLevel="0" collapsed="false">
      <c r="A913" s="160"/>
      <c r="B913" s="160"/>
      <c r="C913" s="160"/>
      <c r="D913" s="160"/>
      <c r="E913" s="160"/>
      <c r="F913" s="161"/>
      <c r="G913" s="161"/>
      <c r="H913" s="155" t="str">
        <f aca="false">IF(D913="Kaltwasser",G913-F913,"")</f>
        <v/>
      </c>
      <c r="I913" s="155" t="str">
        <f aca="false">IF(D913="Warmwasser",G913-F913,"")</f>
        <v/>
      </c>
      <c r="J913" s="156" t="str">
        <f aca="false">IF(D913="ista",G913,"")</f>
        <v/>
      </c>
    </row>
    <row r="914" customFormat="false" ht="13.5" hidden="false" customHeight="false" outlineLevel="0" collapsed="false">
      <c r="A914" s="160"/>
      <c r="B914" s="160"/>
      <c r="C914" s="160"/>
      <c r="D914" s="160"/>
      <c r="E914" s="160"/>
      <c r="F914" s="161"/>
      <c r="G914" s="161"/>
      <c r="H914" s="155" t="str">
        <f aca="false">IF(D914="Kaltwasser",G914-F914,"")</f>
        <v/>
      </c>
      <c r="I914" s="155" t="str">
        <f aca="false">IF(D914="Warmwasser",G914-F914,"")</f>
        <v/>
      </c>
      <c r="J914" s="156" t="str">
        <f aca="false">IF(D914="ista",G914,"")</f>
        <v/>
      </c>
    </row>
    <row r="915" customFormat="false" ht="13.5" hidden="false" customHeight="false" outlineLevel="0" collapsed="false">
      <c r="A915" s="160"/>
      <c r="B915" s="160"/>
      <c r="C915" s="160"/>
      <c r="D915" s="160"/>
      <c r="E915" s="160"/>
      <c r="F915" s="161"/>
      <c r="G915" s="161"/>
      <c r="H915" s="155" t="str">
        <f aca="false">IF(D915="Kaltwasser",G915-F915,"")</f>
        <v/>
      </c>
      <c r="I915" s="155" t="str">
        <f aca="false">IF(D915="Warmwasser",G915-F915,"")</f>
        <v/>
      </c>
      <c r="J915" s="156" t="str">
        <f aca="false">IF(D915="ista",G915,"")</f>
        <v/>
      </c>
    </row>
    <row r="916" customFormat="false" ht="13.5" hidden="false" customHeight="false" outlineLevel="0" collapsed="false">
      <c r="A916" s="160"/>
      <c r="B916" s="160"/>
      <c r="C916" s="160"/>
      <c r="D916" s="160"/>
      <c r="E916" s="160"/>
      <c r="F916" s="161"/>
      <c r="G916" s="161"/>
      <c r="H916" s="155" t="str">
        <f aca="false">IF(D916="Kaltwasser",G916-F916,"")</f>
        <v/>
      </c>
      <c r="I916" s="155" t="str">
        <f aca="false">IF(D916="Warmwasser",G916-F916,"")</f>
        <v/>
      </c>
      <c r="J916" s="156" t="str">
        <f aca="false">IF(D916="ista",G916,"")</f>
        <v/>
      </c>
    </row>
    <row r="917" customFormat="false" ht="13.5" hidden="false" customHeight="false" outlineLevel="0" collapsed="false">
      <c r="A917" s="160"/>
      <c r="B917" s="160"/>
      <c r="C917" s="160"/>
      <c r="D917" s="160"/>
      <c r="E917" s="160"/>
      <c r="F917" s="161"/>
      <c r="G917" s="161"/>
      <c r="H917" s="155" t="str">
        <f aca="false">IF(D917="Kaltwasser",G917-F917,"")</f>
        <v/>
      </c>
      <c r="I917" s="155" t="str">
        <f aca="false">IF(D917="Warmwasser",G917-F917,"")</f>
        <v/>
      </c>
      <c r="J917" s="156" t="str">
        <f aca="false">IF(D917="ista",G917,"")</f>
        <v/>
      </c>
    </row>
    <row r="918" customFormat="false" ht="13.5" hidden="false" customHeight="false" outlineLevel="0" collapsed="false">
      <c r="A918" s="160"/>
      <c r="B918" s="160"/>
      <c r="C918" s="160"/>
      <c r="D918" s="160"/>
      <c r="E918" s="160"/>
      <c r="F918" s="161"/>
      <c r="G918" s="161"/>
      <c r="H918" s="155" t="str">
        <f aca="false">IF(D918="Kaltwasser",G918-F918,"")</f>
        <v/>
      </c>
      <c r="I918" s="155" t="str">
        <f aca="false">IF(D918="Warmwasser",G918-F918,"")</f>
        <v/>
      </c>
      <c r="J918" s="156" t="str">
        <f aca="false">IF(D918="ista",G918,"")</f>
        <v/>
      </c>
    </row>
    <row r="919" customFormat="false" ht="13.5" hidden="false" customHeight="false" outlineLevel="0" collapsed="false">
      <c r="A919" s="160"/>
      <c r="B919" s="160"/>
      <c r="C919" s="160"/>
      <c r="D919" s="160"/>
      <c r="E919" s="160"/>
      <c r="F919" s="161"/>
      <c r="G919" s="161"/>
      <c r="H919" s="155" t="str">
        <f aca="false">IF(D919="Kaltwasser",G919-F919,"")</f>
        <v/>
      </c>
      <c r="I919" s="155" t="str">
        <f aca="false">IF(D919="Warmwasser",G919-F919,"")</f>
        <v/>
      </c>
      <c r="J919" s="156" t="str">
        <f aca="false">IF(D919="ista",G919,"")</f>
        <v/>
      </c>
    </row>
    <row r="920" customFormat="false" ht="13.5" hidden="false" customHeight="false" outlineLevel="0" collapsed="false">
      <c r="A920" s="160"/>
      <c r="B920" s="160"/>
      <c r="C920" s="160"/>
      <c r="D920" s="160"/>
      <c r="E920" s="160"/>
      <c r="F920" s="161"/>
      <c r="G920" s="161"/>
      <c r="H920" s="155" t="str">
        <f aca="false">IF(D920="Kaltwasser",G920-F920,"")</f>
        <v/>
      </c>
      <c r="I920" s="155" t="str">
        <f aca="false">IF(D920="Warmwasser",G920-F920,"")</f>
        <v/>
      </c>
      <c r="J920" s="156" t="str">
        <f aca="false">IF(D920="ista",G920,"")</f>
        <v/>
      </c>
    </row>
    <row r="921" customFormat="false" ht="13.5" hidden="false" customHeight="false" outlineLevel="0" collapsed="false">
      <c r="A921" s="160"/>
      <c r="B921" s="160"/>
      <c r="C921" s="160"/>
      <c r="D921" s="160"/>
      <c r="E921" s="160"/>
      <c r="F921" s="161"/>
      <c r="G921" s="161"/>
      <c r="H921" s="155" t="str">
        <f aca="false">IF(D921="Kaltwasser",G921-F921,"")</f>
        <v/>
      </c>
      <c r="I921" s="155" t="str">
        <f aca="false">IF(D921="Warmwasser",G921-F921,"")</f>
        <v/>
      </c>
      <c r="J921" s="156" t="str">
        <f aca="false">IF(D921="ista",G921,"")</f>
        <v/>
      </c>
    </row>
    <row r="922" customFormat="false" ht="13.5" hidden="false" customHeight="false" outlineLevel="0" collapsed="false">
      <c r="A922" s="160"/>
      <c r="B922" s="160"/>
      <c r="C922" s="160"/>
      <c r="D922" s="160"/>
      <c r="E922" s="160"/>
      <c r="F922" s="161"/>
      <c r="G922" s="161"/>
      <c r="H922" s="155" t="str">
        <f aca="false">IF(D922="Kaltwasser",G922-F922,"")</f>
        <v/>
      </c>
      <c r="I922" s="155" t="str">
        <f aca="false">IF(D922="Warmwasser",G922-F922,"")</f>
        <v/>
      </c>
      <c r="J922" s="156" t="str">
        <f aca="false">IF(D922="ista",G922,"")</f>
        <v/>
      </c>
    </row>
    <row r="923" customFormat="false" ht="13.5" hidden="false" customHeight="false" outlineLevel="0" collapsed="false">
      <c r="A923" s="160"/>
      <c r="B923" s="160"/>
      <c r="C923" s="160"/>
      <c r="D923" s="160"/>
      <c r="E923" s="160"/>
      <c r="F923" s="161"/>
      <c r="G923" s="161"/>
      <c r="H923" s="155" t="str">
        <f aca="false">IF(D923="Kaltwasser",G923-F923,"")</f>
        <v/>
      </c>
      <c r="I923" s="155" t="str">
        <f aca="false">IF(D923="Warmwasser",G923-F923,"")</f>
        <v/>
      </c>
      <c r="J923" s="156" t="str">
        <f aca="false">IF(D923="ista",G923,"")</f>
        <v/>
      </c>
    </row>
    <row r="924" customFormat="false" ht="13.5" hidden="false" customHeight="false" outlineLevel="0" collapsed="false">
      <c r="A924" s="160"/>
      <c r="B924" s="160"/>
      <c r="C924" s="160"/>
      <c r="D924" s="160"/>
      <c r="E924" s="160"/>
      <c r="F924" s="161"/>
      <c r="G924" s="161"/>
      <c r="H924" s="155" t="str">
        <f aca="false">IF(D924="Kaltwasser",G924-F924,"")</f>
        <v/>
      </c>
      <c r="I924" s="155" t="str">
        <f aca="false">IF(D924="Warmwasser",G924-F924,"")</f>
        <v/>
      </c>
      <c r="J924" s="156" t="str">
        <f aca="false">IF(D924="ista",G924,"")</f>
        <v/>
      </c>
    </row>
    <row r="925" customFormat="false" ht="13.5" hidden="false" customHeight="false" outlineLevel="0" collapsed="false">
      <c r="A925" s="160"/>
      <c r="B925" s="160"/>
      <c r="C925" s="160"/>
      <c r="D925" s="160"/>
      <c r="E925" s="160"/>
      <c r="F925" s="161"/>
      <c r="G925" s="161"/>
      <c r="H925" s="155" t="str">
        <f aca="false">IF(D925="Kaltwasser",G925-F925,"")</f>
        <v/>
      </c>
      <c r="I925" s="155" t="str">
        <f aca="false">IF(D925="Warmwasser",G925-F925,"")</f>
        <v/>
      </c>
      <c r="J925" s="156" t="str">
        <f aca="false">IF(D925="ista",G925,"")</f>
        <v/>
      </c>
    </row>
    <row r="926" customFormat="false" ht="13.5" hidden="false" customHeight="false" outlineLevel="0" collapsed="false">
      <c r="A926" s="160"/>
      <c r="B926" s="160"/>
      <c r="C926" s="160"/>
      <c r="D926" s="160"/>
      <c r="E926" s="160"/>
      <c r="F926" s="161"/>
      <c r="G926" s="161"/>
      <c r="H926" s="155" t="str">
        <f aca="false">IF(D926="Kaltwasser",G926-F926,"")</f>
        <v/>
      </c>
      <c r="I926" s="155" t="str">
        <f aca="false">IF(D926="Warmwasser",G926-F926,"")</f>
        <v/>
      </c>
      <c r="J926" s="156" t="str">
        <f aca="false">IF(D926="ista",G926,"")</f>
        <v/>
      </c>
    </row>
    <row r="927" customFormat="false" ht="13.5" hidden="false" customHeight="false" outlineLevel="0" collapsed="false">
      <c r="A927" s="160"/>
      <c r="B927" s="160"/>
      <c r="C927" s="160"/>
      <c r="D927" s="160"/>
      <c r="E927" s="160"/>
      <c r="F927" s="161"/>
      <c r="G927" s="161"/>
      <c r="H927" s="155" t="str">
        <f aca="false">IF(D927="Kaltwasser",G927-F927,"")</f>
        <v/>
      </c>
      <c r="I927" s="155" t="str">
        <f aca="false">IF(D927="Warmwasser",G927-F927,"")</f>
        <v/>
      </c>
      <c r="J927" s="156" t="str">
        <f aca="false">IF(D927="ista",G927,"")</f>
        <v/>
      </c>
    </row>
    <row r="928" customFormat="false" ht="13.5" hidden="false" customHeight="false" outlineLevel="0" collapsed="false">
      <c r="A928" s="160"/>
      <c r="B928" s="160"/>
      <c r="C928" s="160"/>
      <c r="D928" s="160"/>
      <c r="E928" s="160"/>
      <c r="F928" s="161"/>
      <c r="G928" s="161"/>
      <c r="H928" s="155" t="str">
        <f aca="false">IF(D928="Kaltwasser",G928-F928,"")</f>
        <v/>
      </c>
      <c r="I928" s="155" t="str">
        <f aca="false">IF(D928="Warmwasser",G928-F928,"")</f>
        <v/>
      </c>
      <c r="J928" s="156" t="str">
        <f aca="false">IF(D928="ista",G928,"")</f>
        <v/>
      </c>
    </row>
    <row r="929" customFormat="false" ht="13.5" hidden="false" customHeight="false" outlineLevel="0" collapsed="false">
      <c r="A929" s="160"/>
      <c r="B929" s="160"/>
      <c r="C929" s="160"/>
      <c r="D929" s="160"/>
      <c r="E929" s="160"/>
      <c r="F929" s="161"/>
      <c r="G929" s="161"/>
      <c r="H929" s="155" t="str">
        <f aca="false">IF(D929="Kaltwasser",G929-F929,"")</f>
        <v/>
      </c>
      <c r="I929" s="155" t="str">
        <f aca="false">IF(D929="Warmwasser",G929-F929,"")</f>
        <v/>
      </c>
      <c r="J929" s="156" t="str">
        <f aca="false">IF(D929="ista",G929,"")</f>
        <v/>
      </c>
    </row>
    <row r="930" customFormat="false" ht="13.5" hidden="false" customHeight="false" outlineLevel="0" collapsed="false">
      <c r="A930" s="160"/>
      <c r="B930" s="160"/>
      <c r="C930" s="160"/>
      <c r="D930" s="160"/>
      <c r="E930" s="160"/>
      <c r="F930" s="161"/>
      <c r="G930" s="161"/>
      <c r="H930" s="155" t="str">
        <f aca="false">IF(D930="Kaltwasser",G930-F930,"")</f>
        <v/>
      </c>
      <c r="I930" s="155" t="str">
        <f aca="false">IF(D930="Warmwasser",G930-F930,"")</f>
        <v/>
      </c>
      <c r="J930" s="156" t="str">
        <f aca="false">IF(D930="ista",G930,"")</f>
        <v/>
      </c>
    </row>
    <row r="931" customFormat="false" ht="13.5" hidden="false" customHeight="false" outlineLevel="0" collapsed="false">
      <c r="A931" s="160"/>
      <c r="B931" s="160"/>
      <c r="C931" s="160"/>
      <c r="D931" s="160"/>
      <c r="E931" s="160"/>
      <c r="F931" s="161"/>
      <c r="G931" s="161"/>
      <c r="H931" s="155" t="str">
        <f aca="false">IF(D931="Kaltwasser",G931-F931,"")</f>
        <v/>
      </c>
      <c r="I931" s="155" t="str">
        <f aca="false">IF(D931="Warmwasser",G931-F931,"")</f>
        <v/>
      </c>
      <c r="J931" s="156" t="str">
        <f aca="false">IF(D931="ista",G931,"")</f>
        <v/>
      </c>
    </row>
    <row r="932" customFormat="false" ht="13.5" hidden="false" customHeight="false" outlineLevel="0" collapsed="false">
      <c r="A932" s="160"/>
      <c r="B932" s="160"/>
      <c r="C932" s="160"/>
      <c r="D932" s="160"/>
      <c r="E932" s="160"/>
      <c r="F932" s="161"/>
      <c r="G932" s="161"/>
      <c r="H932" s="155" t="str">
        <f aca="false">IF(D932="Kaltwasser",G932-F932,"")</f>
        <v/>
      </c>
      <c r="I932" s="155" t="str">
        <f aca="false">IF(D932="Warmwasser",G932-F932,"")</f>
        <v/>
      </c>
      <c r="J932" s="156" t="str">
        <f aca="false">IF(D932="ista",G932,"")</f>
        <v/>
      </c>
    </row>
    <row r="933" customFormat="false" ht="13.5" hidden="false" customHeight="false" outlineLevel="0" collapsed="false">
      <c r="A933" s="160"/>
      <c r="B933" s="160"/>
      <c r="C933" s="160"/>
      <c r="D933" s="160"/>
      <c r="E933" s="160"/>
      <c r="F933" s="161"/>
      <c r="G933" s="161"/>
      <c r="H933" s="155" t="str">
        <f aca="false">IF(D933="Kaltwasser",G933-F933,"")</f>
        <v/>
      </c>
      <c r="I933" s="155" t="str">
        <f aca="false">IF(D933="Warmwasser",G933-F933,"")</f>
        <v/>
      </c>
      <c r="J933" s="156" t="str">
        <f aca="false">IF(D933="ista",G933,"")</f>
        <v/>
      </c>
    </row>
    <row r="934" customFormat="false" ht="13.5" hidden="false" customHeight="false" outlineLevel="0" collapsed="false">
      <c r="A934" s="160"/>
      <c r="B934" s="160"/>
      <c r="C934" s="160"/>
      <c r="D934" s="160"/>
      <c r="E934" s="160"/>
      <c r="F934" s="161"/>
      <c r="G934" s="161"/>
      <c r="H934" s="155" t="str">
        <f aca="false">IF(D934="Kaltwasser",G934-F934,"")</f>
        <v/>
      </c>
      <c r="I934" s="155" t="str">
        <f aca="false">IF(D934="Warmwasser",G934-F934,"")</f>
        <v/>
      </c>
      <c r="J934" s="156" t="str">
        <f aca="false">IF(D934="ista",G934,"")</f>
        <v/>
      </c>
    </row>
    <row r="935" customFormat="false" ht="13.5" hidden="false" customHeight="false" outlineLevel="0" collapsed="false">
      <c r="A935" s="160"/>
      <c r="B935" s="160"/>
      <c r="C935" s="160"/>
      <c r="D935" s="160"/>
      <c r="E935" s="160"/>
      <c r="F935" s="161"/>
      <c r="G935" s="161"/>
      <c r="H935" s="155" t="str">
        <f aca="false">IF(D935="Kaltwasser",G935-F935,"")</f>
        <v/>
      </c>
      <c r="I935" s="155" t="str">
        <f aca="false">IF(D935="Warmwasser",G935-F935,"")</f>
        <v/>
      </c>
      <c r="J935" s="156" t="str">
        <f aca="false">IF(D935="ista",G935,"")</f>
        <v/>
      </c>
    </row>
    <row r="936" customFormat="false" ht="13.5" hidden="false" customHeight="false" outlineLevel="0" collapsed="false">
      <c r="A936" s="160"/>
      <c r="B936" s="160"/>
      <c r="C936" s="160"/>
      <c r="D936" s="160"/>
      <c r="E936" s="160"/>
      <c r="F936" s="161"/>
      <c r="G936" s="161"/>
      <c r="H936" s="155" t="str">
        <f aca="false">IF(D936="Kaltwasser",G936-F936,"")</f>
        <v/>
      </c>
      <c r="I936" s="155" t="str">
        <f aca="false">IF(D936="Warmwasser",G936-F936,"")</f>
        <v/>
      </c>
      <c r="J936" s="156" t="str">
        <f aca="false">IF(D936="ista",G936,"")</f>
        <v/>
      </c>
    </row>
    <row r="937" customFormat="false" ht="13.5" hidden="false" customHeight="false" outlineLevel="0" collapsed="false">
      <c r="A937" s="160"/>
      <c r="B937" s="160"/>
      <c r="C937" s="160"/>
      <c r="D937" s="160"/>
      <c r="E937" s="160"/>
      <c r="F937" s="161"/>
      <c r="G937" s="161"/>
      <c r="H937" s="155" t="str">
        <f aca="false">IF(D937="Kaltwasser",G937-F937,"")</f>
        <v/>
      </c>
      <c r="I937" s="155" t="str">
        <f aca="false">IF(D937="Warmwasser",G937-F937,"")</f>
        <v/>
      </c>
      <c r="J937" s="156" t="str">
        <f aca="false">IF(D937="ista",G937,"")</f>
        <v/>
      </c>
    </row>
    <row r="938" customFormat="false" ht="13.5" hidden="false" customHeight="false" outlineLevel="0" collapsed="false">
      <c r="A938" s="160"/>
      <c r="B938" s="160"/>
      <c r="C938" s="160"/>
      <c r="D938" s="160"/>
      <c r="E938" s="160"/>
      <c r="F938" s="161"/>
      <c r="G938" s="161"/>
      <c r="H938" s="155" t="str">
        <f aca="false">IF(D938="Kaltwasser",G938-F938,"")</f>
        <v/>
      </c>
      <c r="I938" s="155" t="str">
        <f aca="false">IF(D938="Warmwasser",G938-F938,"")</f>
        <v/>
      </c>
      <c r="J938" s="156" t="str">
        <f aca="false">IF(D938="ista",G938,"")</f>
        <v/>
      </c>
    </row>
    <row r="939" customFormat="false" ht="13.5" hidden="false" customHeight="false" outlineLevel="0" collapsed="false">
      <c r="A939" s="160"/>
      <c r="B939" s="160"/>
      <c r="C939" s="160"/>
      <c r="D939" s="160"/>
      <c r="E939" s="160"/>
      <c r="F939" s="161"/>
      <c r="G939" s="161"/>
      <c r="H939" s="155" t="str">
        <f aca="false">IF(D939="Kaltwasser",G939-F939,"")</f>
        <v/>
      </c>
      <c r="I939" s="155" t="str">
        <f aca="false">IF(D939="Warmwasser",G939-F939,"")</f>
        <v/>
      </c>
      <c r="J939" s="156" t="str">
        <f aca="false">IF(D939="ista",G939,"")</f>
        <v/>
      </c>
    </row>
    <row r="940" customFormat="false" ht="13.5" hidden="false" customHeight="false" outlineLevel="0" collapsed="false">
      <c r="A940" s="160"/>
      <c r="B940" s="160"/>
      <c r="C940" s="160"/>
      <c r="D940" s="160"/>
      <c r="E940" s="160"/>
      <c r="F940" s="161"/>
      <c r="G940" s="161"/>
      <c r="H940" s="155" t="str">
        <f aca="false">IF(D940="Kaltwasser",G940-F940,"")</f>
        <v/>
      </c>
      <c r="I940" s="155" t="str">
        <f aca="false">IF(D940="Warmwasser",G940-F940,"")</f>
        <v/>
      </c>
      <c r="J940" s="156" t="str">
        <f aca="false">IF(D940="ista",G940,"")</f>
        <v/>
      </c>
    </row>
    <row r="941" customFormat="false" ht="13.5" hidden="false" customHeight="false" outlineLevel="0" collapsed="false">
      <c r="A941" s="160"/>
      <c r="B941" s="160"/>
      <c r="C941" s="160"/>
      <c r="D941" s="160"/>
      <c r="E941" s="160"/>
      <c r="F941" s="161"/>
      <c r="G941" s="161"/>
      <c r="H941" s="155" t="str">
        <f aca="false">IF(D941="Kaltwasser",G941-F941,"")</f>
        <v/>
      </c>
      <c r="I941" s="155" t="str">
        <f aca="false">IF(D941="Warmwasser",G941-F941,"")</f>
        <v/>
      </c>
      <c r="J941" s="156" t="str">
        <f aca="false">IF(D941="ista",G941,"")</f>
        <v/>
      </c>
    </row>
    <row r="942" customFormat="false" ht="13.5" hidden="false" customHeight="false" outlineLevel="0" collapsed="false">
      <c r="A942" s="160"/>
      <c r="B942" s="160"/>
      <c r="C942" s="160"/>
      <c r="D942" s="160"/>
      <c r="E942" s="160"/>
      <c r="F942" s="161"/>
      <c r="G942" s="161"/>
      <c r="H942" s="155" t="str">
        <f aca="false">IF(D942="Kaltwasser",G942-F942,"")</f>
        <v/>
      </c>
      <c r="I942" s="155" t="str">
        <f aca="false">IF(D942="Warmwasser",G942-F942,"")</f>
        <v/>
      </c>
      <c r="J942" s="156" t="str">
        <f aca="false">IF(D942="ista",G942,"")</f>
        <v/>
      </c>
    </row>
    <row r="943" customFormat="false" ht="13.5" hidden="false" customHeight="false" outlineLevel="0" collapsed="false">
      <c r="A943" s="160"/>
      <c r="B943" s="160"/>
      <c r="C943" s="160"/>
      <c r="D943" s="160"/>
      <c r="E943" s="160"/>
      <c r="F943" s="161"/>
      <c r="G943" s="161"/>
      <c r="H943" s="155" t="str">
        <f aca="false">IF(D943="Kaltwasser",G943-F943,"")</f>
        <v/>
      </c>
      <c r="I943" s="155" t="str">
        <f aca="false">IF(D943="Warmwasser",G943-F943,"")</f>
        <v/>
      </c>
      <c r="J943" s="156" t="str">
        <f aca="false">IF(D943="ista",G943,"")</f>
        <v/>
      </c>
    </row>
    <row r="944" customFormat="false" ht="13.5" hidden="false" customHeight="false" outlineLevel="0" collapsed="false">
      <c r="A944" s="160"/>
      <c r="B944" s="160"/>
      <c r="C944" s="160"/>
      <c r="D944" s="160"/>
      <c r="E944" s="160"/>
      <c r="F944" s="161"/>
      <c r="G944" s="161"/>
      <c r="H944" s="155" t="str">
        <f aca="false">IF(D944="Kaltwasser",G944-F944,"")</f>
        <v/>
      </c>
      <c r="I944" s="155" t="str">
        <f aca="false">IF(D944="Warmwasser",G944-F944,"")</f>
        <v/>
      </c>
      <c r="J944" s="156" t="str">
        <f aca="false">IF(D944="ista",G944,"")</f>
        <v/>
      </c>
    </row>
    <row r="945" customFormat="false" ht="13.5" hidden="false" customHeight="false" outlineLevel="0" collapsed="false">
      <c r="A945" s="160"/>
      <c r="B945" s="160"/>
      <c r="C945" s="160"/>
      <c r="D945" s="160"/>
      <c r="E945" s="160"/>
      <c r="F945" s="161"/>
      <c r="G945" s="161"/>
      <c r="H945" s="155" t="str">
        <f aca="false">IF(D945="Kaltwasser",G945-F945,"")</f>
        <v/>
      </c>
      <c r="I945" s="155" t="str">
        <f aca="false">IF(D945="Warmwasser",G945-F945,"")</f>
        <v/>
      </c>
      <c r="J945" s="156" t="str">
        <f aca="false">IF(D945="ista",G945,"")</f>
        <v/>
      </c>
    </row>
    <row r="946" customFormat="false" ht="13.5" hidden="false" customHeight="false" outlineLevel="0" collapsed="false">
      <c r="A946" s="160"/>
      <c r="B946" s="160"/>
      <c r="C946" s="160"/>
      <c r="D946" s="160"/>
      <c r="E946" s="160"/>
      <c r="F946" s="161"/>
      <c r="G946" s="161"/>
      <c r="H946" s="155" t="str">
        <f aca="false">IF(D946="Kaltwasser",G946-F946,"")</f>
        <v/>
      </c>
      <c r="I946" s="155" t="str">
        <f aca="false">IF(D946="Warmwasser",G946-F946,"")</f>
        <v/>
      </c>
      <c r="J946" s="156" t="str">
        <f aca="false">IF(D946="ista",G946,"")</f>
        <v/>
      </c>
    </row>
    <row r="947" customFormat="false" ht="13.5" hidden="false" customHeight="false" outlineLevel="0" collapsed="false">
      <c r="A947" s="160"/>
      <c r="B947" s="160"/>
      <c r="C947" s="160"/>
      <c r="D947" s="160"/>
      <c r="E947" s="160"/>
      <c r="F947" s="161"/>
      <c r="G947" s="161"/>
      <c r="H947" s="155" t="str">
        <f aca="false">IF(D947="Kaltwasser",G947-F947,"")</f>
        <v/>
      </c>
      <c r="I947" s="155" t="str">
        <f aca="false">IF(D947="Warmwasser",G947-F947,"")</f>
        <v/>
      </c>
      <c r="J947" s="156" t="str">
        <f aca="false">IF(D947="ista",G947,"")</f>
        <v/>
      </c>
    </row>
    <row r="948" customFormat="false" ht="13.5" hidden="false" customHeight="false" outlineLevel="0" collapsed="false">
      <c r="A948" s="160"/>
      <c r="B948" s="160"/>
      <c r="C948" s="160"/>
      <c r="D948" s="160"/>
      <c r="E948" s="160"/>
      <c r="F948" s="161"/>
      <c r="G948" s="161"/>
      <c r="H948" s="155" t="str">
        <f aca="false">IF(D948="Kaltwasser",G948-F948,"")</f>
        <v/>
      </c>
      <c r="I948" s="155" t="str">
        <f aca="false">IF(D948="Warmwasser",G948-F948,"")</f>
        <v/>
      </c>
      <c r="J948" s="156" t="str">
        <f aca="false">IF(D948="ista",G948,"")</f>
        <v/>
      </c>
    </row>
    <row r="949" customFormat="false" ht="13.5" hidden="false" customHeight="false" outlineLevel="0" collapsed="false">
      <c r="A949" s="160"/>
      <c r="B949" s="160"/>
      <c r="C949" s="160"/>
      <c r="D949" s="160"/>
      <c r="E949" s="160"/>
      <c r="F949" s="161"/>
      <c r="G949" s="161"/>
      <c r="H949" s="155" t="str">
        <f aca="false">IF(D949="Kaltwasser",G949-F949,"")</f>
        <v/>
      </c>
      <c r="I949" s="155" t="str">
        <f aca="false">IF(D949="Warmwasser",G949-F949,"")</f>
        <v/>
      </c>
      <c r="J949" s="156" t="str">
        <f aca="false">IF(D949="ista",G949,"")</f>
        <v/>
      </c>
    </row>
    <row r="950" customFormat="false" ht="13.5" hidden="false" customHeight="false" outlineLevel="0" collapsed="false">
      <c r="A950" s="160"/>
      <c r="B950" s="160"/>
      <c r="C950" s="160"/>
      <c r="D950" s="160"/>
      <c r="E950" s="160"/>
      <c r="F950" s="161"/>
      <c r="G950" s="161"/>
      <c r="H950" s="155" t="str">
        <f aca="false">IF(D950="Kaltwasser",G950-F950,"")</f>
        <v/>
      </c>
      <c r="I950" s="155" t="str">
        <f aca="false">IF(D950="Warmwasser",G950-F950,"")</f>
        <v/>
      </c>
      <c r="J950" s="156" t="str">
        <f aca="false">IF(D950="ista",G950,"")</f>
        <v/>
      </c>
    </row>
    <row r="951" customFormat="false" ht="13.5" hidden="false" customHeight="false" outlineLevel="0" collapsed="false">
      <c r="A951" s="160"/>
      <c r="B951" s="160"/>
      <c r="C951" s="160"/>
      <c r="D951" s="160"/>
      <c r="E951" s="160"/>
      <c r="F951" s="161"/>
      <c r="G951" s="161"/>
      <c r="H951" s="155" t="str">
        <f aca="false">IF(D951="Kaltwasser",G951-F951,"")</f>
        <v/>
      </c>
      <c r="I951" s="155" t="str">
        <f aca="false">IF(D951="Warmwasser",G951-F951,"")</f>
        <v/>
      </c>
      <c r="J951" s="156" t="str">
        <f aca="false">IF(D951="ista",G951,"")</f>
        <v/>
      </c>
    </row>
    <row r="952" customFormat="false" ht="13.5" hidden="false" customHeight="false" outlineLevel="0" collapsed="false">
      <c r="A952" s="160"/>
      <c r="B952" s="160"/>
      <c r="C952" s="160"/>
      <c r="D952" s="160"/>
      <c r="E952" s="160"/>
      <c r="F952" s="161"/>
      <c r="G952" s="161"/>
      <c r="H952" s="155" t="str">
        <f aca="false">IF(D952="Kaltwasser",G952-F952,"")</f>
        <v/>
      </c>
      <c r="I952" s="155" t="str">
        <f aca="false">IF(D952="Warmwasser",G952-F952,"")</f>
        <v/>
      </c>
      <c r="J952" s="156" t="str">
        <f aca="false">IF(D952="ista",G952,"")</f>
        <v/>
      </c>
    </row>
    <row r="953" customFormat="false" ht="13.5" hidden="false" customHeight="false" outlineLevel="0" collapsed="false">
      <c r="A953" s="160"/>
      <c r="B953" s="160"/>
      <c r="C953" s="160"/>
      <c r="D953" s="160"/>
      <c r="E953" s="160"/>
      <c r="F953" s="161"/>
      <c r="G953" s="161"/>
      <c r="H953" s="155" t="str">
        <f aca="false">IF(D953="Kaltwasser",G953-F953,"")</f>
        <v/>
      </c>
      <c r="I953" s="155" t="str">
        <f aca="false">IF(D953="Warmwasser",G953-F953,"")</f>
        <v/>
      </c>
      <c r="J953" s="156" t="str">
        <f aca="false">IF(D953="ista",G953,"")</f>
        <v/>
      </c>
    </row>
    <row r="954" customFormat="false" ht="13.5" hidden="false" customHeight="false" outlineLevel="0" collapsed="false">
      <c r="A954" s="160"/>
      <c r="B954" s="160"/>
      <c r="C954" s="160"/>
      <c r="D954" s="160"/>
      <c r="E954" s="160"/>
      <c r="F954" s="161"/>
      <c r="G954" s="161"/>
      <c r="H954" s="155" t="str">
        <f aca="false">IF(D954="Kaltwasser",G954-F954,"")</f>
        <v/>
      </c>
      <c r="I954" s="155" t="str">
        <f aca="false">IF(D954="Warmwasser",G954-F954,"")</f>
        <v/>
      </c>
      <c r="J954" s="156" t="str">
        <f aca="false">IF(D954="ista",G954,"")</f>
        <v/>
      </c>
    </row>
    <row r="955" customFormat="false" ht="13.5" hidden="false" customHeight="false" outlineLevel="0" collapsed="false">
      <c r="A955" s="160"/>
      <c r="B955" s="160"/>
      <c r="C955" s="160"/>
      <c r="D955" s="160"/>
      <c r="E955" s="160"/>
      <c r="F955" s="161"/>
      <c r="G955" s="161"/>
      <c r="H955" s="155" t="str">
        <f aca="false">IF(D955="Kaltwasser",G955-F955,"")</f>
        <v/>
      </c>
      <c r="I955" s="155" t="str">
        <f aca="false">IF(D955="Warmwasser",G955-F955,"")</f>
        <v/>
      </c>
      <c r="J955" s="156" t="str">
        <f aca="false">IF(D955="ista",G955,"")</f>
        <v/>
      </c>
    </row>
    <row r="956" customFormat="false" ht="13.5" hidden="false" customHeight="false" outlineLevel="0" collapsed="false">
      <c r="A956" s="160"/>
      <c r="B956" s="160"/>
      <c r="C956" s="160"/>
      <c r="D956" s="160"/>
      <c r="E956" s="160"/>
      <c r="F956" s="161"/>
      <c r="G956" s="161"/>
      <c r="H956" s="155" t="str">
        <f aca="false">IF(D956="Kaltwasser",G956-F956,"")</f>
        <v/>
      </c>
      <c r="I956" s="155" t="str">
        <f aca="false">IF(D956="Warmwasser",G956-F956,"")</f>
        <v/>
      </c>
      <c r="J956" s="156" t="str">
        <f aca="false">IF(D956="ista",G956,"")</f>
        <v/>
      </c>
    </row>
    <row r="957" customFormat="false" ht="13.5" hidden="false" customHeight="false" outlineLevel="0" collapsed="false">
      <c r="A957" s="160"/>
      <c r="B957" s="160"/>
      <c r="C957" s="160"/>
      <c r="D957" s="160"/>
      <c r="E957" s="160"/>
      <c r="F957" s="161"/>
      <c r="G957" s="161"/>
      <c r="H957" s="155" t="str">
        <f aca="false">IF(D957="Kaltwasser",G957-F957,"")</f>
        <v/>
      </c>
      <c r="I957" s="155" t="str">
        <f aca="false">IF(D957="Warmwasser",G957-F957,"")</f>
        <v/>
      </c>
      <c r="J957" s="156" t="str">
        <f aca="false">IF(D957="ista",G957,"")</f>
        <v/>
      </c>
    </row>
    <row r="958" customFormat="false" ht="13.5" hidden="false" customHeight="false" outlineLevel="0" collapsed="false">
      <c r="A958" s="160"/>
      <c r="B958" s="160"/>
      <c r="C958" s="160"/>
      <c r="D958" s="160"/>
      <c r="E958" s="160"/>
      <c r="F958" s="161"/>
      <c r="G958" s="161"/>
      <c r="H958" s="155" t="str">
        <f aca="false">IF(D958="Kaltwasser",G958-F958,"")</f>
        <v/>
      </c>
      <c r="I958" s="155" t="str">
        <f aca="false">IF(D958="Warmwasser",G958-F958,"")</f>
        <v/>
      </c>
      <c r="J958" s="156" t="str">
        <f aca="false">IF(D958="ista",G958,"")</f>
        <v/>
      </c>
    </row>
    <row r="959" customFormat="false" ht="13.5" hidden="false" customHeight="false" outlineLevel="0" collapsed="false">
      <c r="A959" s="160"/>
      <c r="B959" s="160"/>
      <c r="C959" s="160"/>
      <c r="D959" s="160"/>
      <c r="E959" s="160"/>
      <c r="F959" s="161"/>
      <c r="G959" s="161"/>
      <c r="H959" s="155" t="str">
        <f aca="false">IF(D959="Kaltwasser",G959-F959,"")</f>
        <v/>
      </c>
      <c r="I959" s="155" t="str">
        <f aca="false">IF(D959="Warmwasser",G959-F959,"")</f>
        <v/>
      </c>
      <c r="J959" s="156" t="str">
        <f aca="false">IF(D959="ista",G959,"")</f>
        <v/>
      </c>
    </row>
    <row r="960" customFormat="false" ht="13.5" hidden="false" customHeight="false" outlineLevel="0" collapsed="false">
      <c r="A960" s="160"/>
      <c r="B960" s="160"/>
      <c r="C960" s="160"/>
      <c r="D960" s="160"/>
      <c r="E960" s="160"/>
      <c r="F960" s="161"/>
      <c r="G960" s="161"/>
      <c r="H960" s="155" t="str">
        <f aca="false">IF(D960="Kaltwasser",G960-F960,"")</f>
        <v/>
      </c>
      <c r="I960" s="155" t="str">
        <f aca="false">IF(D960="Warmwasser",G960-F960,"")</f>
        <v/>
      </c>
      <c r="J960" s="156" t="str">
        <f aca="false">IF(D960="ista",G960,"")</f>
        <v/>
      </c>
    </row>
    <row r="961" customFormat="false" ht="13.5" hidden="false" customHeight="false" outlineLevel="0" collapsed="false">
      <c r="A961" s="160"/>
      <c r="B961" s="160"/>
      <c r="C961" s="160"/>
      <c r="D961" s="160"/>
      <c r="E961" s="160"/>
      <c r="F961" s="161"/>
      <c r="G961" s="161"/>
      <c r="H961" s="155" t="str">
        <f aca="false">IF(D961="Kaltwasser",G961-F961,"")</f>
        <v/>
      </c>
      <c r="I961" s="155" t="str">
        <f aca="false">IF(D961="Warmwasser",G961-F961,"")</f>
        <v/>
      </c>
      <c r="J961" s="156" t="str">
        <f aca="false">IF(D961="ista",G961,"")</f>
        <v/>
      </c>
    </row>
    <row r="962" customFormat="false" ht="13.5" hidden="false" customHeight="false" outlineLevel="0" collapsed="false">
      <c r="A962" s="160"/>
      <c r="B962" s="160"/>
      <c r="C962" s="160"/>
      <c r="D962" s="160"/>
      <c r="E962" s="160"/>
      <c r="F962" s="161"/>
      <c r="G962" s="161"/>
      <c r="H962" s="155" t="str">
        <f aca="false">IF(D962="Kaltwasser",G962-F962,"")</f>
        <v/>
      </c>
      <c r="I962" s="155" t="str">
        <f aca="false">IF(D962="Warmwasser",G962-F962,"")</f>
        <v/>
      </c>
      <c r="J962" s="156" t="str">
        <f aca="false">IF(D962="ista",G962,"")</f>
        <v/>
      </c>
    </row>
    <row r="963" customFormat="false" ht="13.5" hidden="false" customHeight="false" outlineLevel="0" collapsed="false">
      <c r="A963" s="160"/>
      <c r="B963" s="160"/>
      <c r="C963" s="160"/>
      <c r="D963" s="160"/>
      <c r="E963" s="160"/>
      <c r="F963" s="161"/>
      <c r="G963" s="161"/>
      <c r="H963" s="155" t="str">
        <f aca="false">IF(D963="Kaltwasser",G963-F963,"")</f>
        <v/>
      </c>
      <c r="I963" s="155" t="str">
        <f aca="false">IF(D963="Warmwasser",G963-F963,"")</f>
        <v/>
      </c>
      <c r="J963" s="156" t="str">
        <f aca="false">IF(D963="ista",G963,"")</f>
        <v/>
      </c>
    </row>
    <row r="964" customFormat="false" ht="13.5" hidden="false" customHeight="false" outlineLevel="0" collapsed="false">
      <c r="A964" s="160"/>
      <c r="B964" s="160"/>
      <c r="C964" s="160"/>
      <c r="D964" s="160"/>
      <c r="E964" s="160"/>
      <c r="F964" s="161"/>
      <c r="G964" s="161"/>
      <c r="H964" s="155" t="str">
        <f aca="false">IF(D964="Kaltwasser",G964-F964,"")</f>
        <v/>
      </c>
      <c r="I964" s="155" t="str">
        <f aca="false">IF(D964="Warmwasser",G964-F964,"")</f>
        <v/>
      </c>
      <c r="J964" s="156" t="str">
        <f aca="false">IF(D964="ista",G964,"")</f>
        <v/>
      </c>
    </row>
    <row r="965" customFormat="false" ht="13.5" hidden="false" customHeight="false" outlineLevel="0" collapsed="false">
      <c r="A965" s="160"/>
      <c r="B965" s="160"/>
      <c r="C965" s="160"/>
      <c r="D965" s="160"/>
      <c r="E965" s="160"/>
      <c r="F965" s="161"/>
      <c r="G965" s="161"/>
      <c r="H965" s="155" t="str">
        <f aca="false">IF(D965="Kaltwasser",G965-F965,"")</f>
        <v/>
      </c>
      <c r="I965" s="155" t="str">
        <f aca="false">IF(D965="Warmwasser",G965-F965,"")</f>
        <v/>
      </c>
      <c r="J965" s="156" t="str">
        <f aca="false">IF(D965="ista",G965,"")</f>
        <v/>
      </c>
    </row>
    <row r="966" customFormat="false" ht="13.5" hidden="false" customHeight="false" outlineLevel="0" collapsed="false">
      <c r="A966" s="160"/>
      <c r="B966" s="160"/>
      <c r="C966" s="160"/>
      <c r="D966" s="160"/>
      <c r="E966" s="160"/>
      <c r="F966" s="161"/>
      <c r="G966" s="161"/>
      <c r="H966" s="155" t="str">
        <f aca="false">IF(D966="Kaltwasser",G966-F966,"")</f>
        <v/>
      </c>
      <c r="I966" s="155" t="str">
        <f aca="false">IF(D966="Warmwasser",G966-F966,"")</f>
        <v/>
      </c>
      <c r="J966" s="156" t="str">
        <f aca="false">IF(D966="ista",G966,"")</f>
        <v/>
      </c>
    </row>
    <row r="967" customFormat="false" ht="13.5" hidden="false" customHeight="false" outlineLevel="0" collapsed="false">
      <c r="A967" s="160"/>
      <c r="B967" s="160"/>
      <c r="C967" s="160"/>
      <c r="D967" s="160"/>
      <c r="E967" s="160"/>
      <c r="F967" s="161"/>
      <c r="G967" s="161"/>
      <c r="H967" s="155" t="str">
        <f aca="false">IF(D967="Kaltwasser",G967-F967,"")</f>
        <v/>
      </c>
      <c r="I967" s="155" t="str">
        <f aca="false">IF(D967="Warmwasser",G967-F967,"")</f>
        <v/>
      </c>
      <c r="J967" s="156" t="str">
        <f aca="false">IF(D967="ista",G967,"")</f>
        <v/>
      </c>
    </row>
    <row r="968" customFormat="false" ht="13.5" hidden="false" customHeight="false" outlineLevel="0" collapsed="false">
      <c r="A968" s="160"/>
      <c r="B968" s="160"/>
      <c r="C968" s="160"/>
      <c r="D968" s="160"/>
      <c r="E968" s="160"/>
      <c r="F968" s="161"/>
      <c r="G968" s="161"/>
      <c r="H968" s="155" t="str">
        <f aca="false">IF(D968="Kaltwasser",G968-F968,"")</f>
        <v/>
      </c>
      <c r="I968" s="155" t="str">
        <f aca="false">IF(D968="Warmwasser",G968-F968,"")</f>
        <v/>
      </c>
      <c r="J968" s="156" t="str">
        <f aca="false">IF(D968="ista",G968,"")</f>
        <v/>
      </c>
    </row>
    <row r="969" customFormat="false" ht="13.5" hidden="false" customHeight="false" outlineLevel="0" collapsed="false">
      <c r="A969" s="160"/>
      <c r="B969" s="160"/>
      <c r="C969" s="160"/>
      <c r="D969" s="160"/>
      <c r="E969" s="160"/>
      <c r="F969" s="161"/>
      <c r="G969" s="161"/>
      <c r="H969" s="155" t="str">
        <f aca="false">IF(D969="Kaltwasser",G969-F969,"")</f>
        <v/>
      </c>
      <c r="I969" s="155" t="str">
        <f aca="false">IF(D969="Warmwasser",G969-F969,"")</f>
        <v/>
      </c>
      <c r="J969" s="156" t="str">
        <f aca="false">IF(D969="ista",G969,"")</f>
        <v/>
      </c>
    </row>
    <row r="970" customFormat="false" ht="13.5" hidden="false" customHeight="false" outlineLevel="0" collapsed="false">
      <c r="A970" s="160"/>
      <c r="B970" s="160"/>
      <c r="C970" s="160"/>
      <c r="D970" s="160"/>
      <c r="E970" s="160"/>
      <c r="F970" s="161"/>
      <c r="G970" s="161"/>
      <c r="H970" s="155" t="str">
        <f aca="false">IF(D970="Kaltwasser",G970-F970,"")</f>
        <v/>
      </c>
      <c r="I970" s="155" t="str">
        <f aca="false">IF(D970="Warmwasser",G970-F970,"")</f>
        <v/>
      </c>
      <c r="J970" s="156" t="str">
        <f aca="false">IF(D970="ista",G970,"")</f>
        <v/>
      </c>
    </row>
    <row r="971" customFormat="false" ht="13.5" hidden="false" customHeight="false" outlineLevel="0" collapsed="false">
      <c r="A971" s="160"/>
      <c r="B971" s="160"/>
      <c r="C971" s="160"/>
      <c r="D971" s="160"/>
      <c r="E971" s="160"/>
      <c r="F971" s="161"/>
      <c r="G971" s="161"/>
      <c r="H971" s="155" t="str">
        <f aca="false">IF(D971="Kaltwasser",G971-F971,"")</f>
        <v/>
      </c>
      <c r="I971" s="155" t="str">
        <f aca="false">IF(D971="Warmwasser",G971-F971,"")</f>
        <v/>
      </c>
      <c r="J971" s="156" t="str">
        <f aca="false">IF(D971="ista",G971,"")</f>
        <v/>
      </c>
    </row>
    <row r="972" customFormat="false" ht="13.5" hidden="false" customHeight="false" outlineLevel="0" collapsed="false">
      <c r="A972" s="160"/>
      <c r="B972" s="160"/>
      <c r="C972" s="160"/>
      <c r="D972" s="160"/>
      <c r="E972" s="160"/>
      <c r="F972" s="161"/>
      <c r="G972" s="161"/>
      <c r="H972" s="155" t="str">
        <f aca="false">IF(D972="Kaltwasser",G972-F972,"")</f>
        <v/>
      </c>
      <c r="I972" s="155" t="str">
        <f aca="false">IF(D972="Warmwasser",G972-F972,"")</f>
        <v/>
      </c>
      <c r="J972" s="156" t="str">
        <f aca="false">IF(D972="ista",G972,"")</f>
        <v/>
      </c>
    </row>
    <row r="973" customFormat="false" ht="13.5" hidden="false" customHeight="false" outlineLevel="0" collapsed="false">
      <c r="A973" s="160"/>
      <c r="B973" s="160"/>
      <c r="C973" s="160"/>
      <c r="D973" s="160"/>
      <c r="E973" s="160"/>
      <c r="F973" s="161"/>
      <c r="G973" s="161"/>
      <c r="H973" s="155" t="str">
        <f aca="false">IF(D973="Kaltwasser",G973-F973,"")</f>
        <v/>
      </c>
      <c r="I973" s="155" t="str">
        <f aca="false">IF(D973="Warmwasser",G973-F973,"")</f>
        <v/>
      </c>
      <c r="J973" s="156" t="str">
        <f aca="false">IF(D973="ista",G973,"")</f>
        <v/>
      </c>
    </row>
    <row r="974" customFormat="false" ht="13.5" hidden="false" customHeight="false" outlineLevel="0" collapsed="false">
      <c r="A974" s="160"/>
      <c r="B974" s="160"/>
      <c r="C974" s="160"/>
      <c r="D974" s="160"/>
      <c r="E974" s="160"/>
      <c r="F974" s="161"/>
      <c r="G974" s="161"/>
      <c r="H974" s="155" t="str">
        <f aca="false">IF(D974="Kaltwasser",G974-F974,"")</f>
        <v/>
      </c>
      <c r="I974" s="155" t="str">
        <f aca="false">IF(D974="Warmwasser",G974-F974,"")</f>
        <v/>
      </c>
      <c r="J974" s="156" t="str">
        <f aca="false">IF(D974="ista",G974,"")</f>
        <v/>
      </c>
    </row>
    <row r="975" customFormat="false" ht="13.5" hidden="false" customHeight="false" outlineLevel="0" collapsed="false">
      <c r="A975" s="160"/>
      <c r="B975" s="160"/>
      <c r="C975" s="160"/>
      <c r="D975" s="160"/>
      <c r="E975" s="160"/>
      <c r="F975" s="161"/>
      <c r="G975" s="161"/>
      <c r="H975" s="155" t="str">
        <f aca="false">IF(D975="Kaltwasser",G975-F975,"")</f>
        <v/>
      </c>
      <c r="I975" s="155" t="str">
        <f aca="false">IF(D975="Warmwasser",G975-F975,"")</f>
        <v/>
      </c>
      <c r="J975" s="156" t="str">
        <f aca="false">IF(D975="ista",G975,"")</f>
        <v/>
      </c>
    </row>
    <row r="976" customFormat="false" ht="13.5" hidden="false" customHeight="false" outlineLevel="0" collapsed="false">
      <c r="A976" s="160"/>
      <c r="B976" s="160"/>
      <c r="C976" s="160"/>
      <c r="D976" s="160"/>
      <c r="E976" s="160"/>
      <c r="F976" s="161"/>
      <c r="G976" s="161"/>
      <c r="H976" s="155" t="str">
        <f aca="false">IF(D976="Kaltwasser",G976-F976,"")</f>
        <v/>
      </c>
      <c r="I976" s="155" t="str">
        <f aca="false">IF(D976="Warmwasser",G976-F976,"")</f>
        <v/>
      </c>
      <c r="J976" s="156" t="str">
        <f aca="false">IF(D976="ista",G976,"")</f>
        <v/>
      </c>
    </row>
    <row r="977" customFormat="false" ht="13.5" hidden="false" customHeight="false" outlineLevel="0" collapsed="false">
      <c r="A977" s="160"/>
      <c r="B977" s="160"/>
      <c r="C977" s="160"/>
      <c r="D977" s="160"/>
      <c r="E977" s="160"/>
      <c r="F977" s="161"/>
      <c r="G977" s="161"/>
      <c r="H977" s="155" t="str">
        <f aca="false">IF(D977="Kaltwasser",G977-F977,"")</f>
        <v/>
      </c>
      <c r="I977" s="155" t="str">
        <f aca="false">IF(D977="Warmwasser",G977-F977,"")</f>
        <v/>
      </c>
      <c r="J977" s="156" t="str">
        <f aca="false">IF(D977="ista",G977,"")</f>
        <v/>
      </c>
    </row>
    <row r="978" customFormat="false" ht="13.5" hidden="false" customHeight="false" outlineLevel="0" collapsed="false">
      <c r="A978" s="160"/>
      <c r="B978" s="160"/>
      <c r="C978" s="160"/>
      <c r="D978" s="160"/>
      <c r="E978" s="160"/>
      <c r="F978" s="161"/>
      <c r="G978" s="161"/>
      <c r="H978" s="155" t="str">
        <f aca="false">IF(D978="Kaltwasser",G978-F978,"")</f>
        <v/>
      </c>
      <c r="I978" s="155" t="str">
        <f aca="false">IF(D978="Warmwasser",G978-F978,"")</f>
        <v/>
      </c>
      <c r="J978" s="156" t="str">
        <f aca="false">IF(D978="ista",G978,"")</f>
        <v/>
      </c>
    </row>
    <row r="979" customFormat="false" ht="13.5" hidden="false" customHeight="false" outlineLevel="0" collapsed="false">
      <c r="A979" s="160"/>
      <c r="B979" s="160"/>
      <c r="C979" s="160"/>
      <c r="D979" s="160"/>
      <c r="E979" s="160"/>
      <c r="F979" s="161"/>
      <c r="G979" s="161"/>
      <c r="H979" s="155" t="str">
        <f aca="false">IF(D979="Kaltwasser",G979-F979,"")</f>
        <v/>
      </c>
      <c r="I979" s="155" t="str">
        <f aca="false">IF(D979="Warmwasser",G979-F979,"")</f>
        <v/>
      </c>
      <c r="J979" s="156" t="str">
        <f aca="false">IF(D979="ista",G979,"")</f>
        <v/>
      </c>
    </row>
    <row r="980" customFormat="false" ht="13.5" hidden="false" customHeight="false" outlineLevel="0" collapsed="false">
      <c r="A980" s="160"/>
      <c r="B980" s="160"/>
      <c r="C980" s="160"/>
      <c r="D980" s="160"/>
      <c r="E980" s="160"/>
      <c r="F980" s="161"/>
      <c r="G980" s="161"/>
      <c r="H980" s="155" t="str">
        <f aca="false">IF(D980="Kaltwasser",G980-F980,"")</f>
        <v/>
      </c>
      <c r="I980" s="155" t="str">
        <f aca="false">IF(D980="Warmwasser",G980-F980,"")</f>
        <v/>
      </c>
      <c r="J980" s="156" t="str">
        <f aca="false">IF(D980="ista",G980,"")</f>
        <v/>
      </c>
    </row>
    <row r="981" customFormat="false" ht="13.5" hidden="false" customHeight="false" outlineLevel="0" collapsed="false">
      <c r="A981" s="160"/>
      <c r="B981" s="160"/>
      <c r="C981" s="160"/>
      <c r="D981" s="160"/>
      <c r="E981" s="160"/>
      <c r="F981" s="161"/>
      <c r="G981" s="161"/>
      <c r="H981" s="155" t="str">
        <f aca="false">IF(D981="Kaltwasser",G981-F981,"")</f>
        <v/>
      </c>
      <c r="I981" s="155" t="str">
        <f aca="false">IF(D981="Warmwasser",G981-F981,"")</f>
        <v/>
      </c>
      <c r="J981" s="156" t="str">
        <f aca="false">IF(D981="ista",G981,"")</f>
        <v/>
      </c>
    </row>
    <row r="982" customFormat="false" ht="13.5" hidden="false" customHeight="false" outlineLevel="0" collapsed="false">
      <c r="A982" s="160"/>
    </row>
  </sheetData>
  <printOptions headings="false" gridLines="false" gridLinesSet="true" horizontalCentered="false" verticalCentered="false"/>
  <pageMargins left="0" right="0" top="0.39375" bottom="0.39375" header="0.511811023622047" footer="0.511811023622047"/>
  <pageSetup paperSize="77" scale="100" fitToWidth="1" fitToHeight="1" pageOrder="overThenDown" orientation="landscape" blackAndWhite="false" draft="false" cellComments="none" horizontalDpi="300" verticalDpi="300" copies="1"/>
  <headerFooter differentFirst="false" differentOddEven="false">
    <oddHeader/>
    <oddFooter/>
  </headerFooter>
  <tableParts>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3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G4:G37 A1"/>
    </sheetView>
  </sheetViews>
  <sheetFormatPr defaultColWidth="10.56640625" defaultRowHeight="13.5" zeroHeight="false" outlineLevelRow="0" outlineLevelCol="0"/>
  <cols>
    <col collapsed="false" customWidth="true" hidden="false" outlineLevel="0" max="5" min="5" style="0" width="34.5"/>
  </cols>
  <sheetData>
    <row r="1" customFormat="false" ht="13.5" hidden="false" customHeight="false" outlineLevel="0" collapsed="false">
      <c r="A1" s="8" t="s">
        <v>185</v>
      </c>
      <c r="B1" s="8" t="s">
        <v>475</v>
      </c>
      <c r="C1" s="8" t="s">
        <v>476</v>
      </c>
      <c r="D1" s="8" t="s">
        <v>477</v>
      </c>
      <c r="E1" s="8" t="s">
        <v>478</v>
      </c>
    </row>
    <row r="2" customFormat="false" ht="13.5" hidden="false" customHeight="false" outlineLevel="0" collapsed="false">
      <c r="A2" s="10" t="n">
        <v>605059274</v>
      </c>
      <c r="B2" s="10" t="n">
        <v>3145</v>
      </c>
      <c r="C2" s="10" t="n">
        <v>2799</v>
      </c>
      <c r="D2" s="10" t="n">
        <v>2946</v>
      </c>
      <c r="E2" s="0" t="n">
        <f aca="false">IFERROR(VLOOKUP(A2,'Ablesung ista &amp; Wasser'!E:E,1,0),"Nicht vorhanden")</f>
        <v>605059274</v>
      </c>
      <c r="F2" s="0" t="str">
        <f aca="false">IF(C2="Kaltwasser",E2-D2,"")</f>
        <v/>
      </c>
      <c r="G2" s="0" t="str">
        <f aca="false">IF(C2="Warmwasser",E2-D2,"")</f>
        <v/>
      </c>
    </row>
    <row r="3" customFormat="false" ht="13.5" hidden="false" customHeight="false" outlineLevel="0" collapsed="false">
      <c r="A3" s="10" t="n">
        <v>605059311</v>
      </c>
      <c r="B3" s="10" t="n">
        <v>2142</v>
      </c>
      <c r="C3" s="10" t="n">
        <v>1696</v>
      </c>
      <c r="D3" s="10" t="n">
        <v>1989</v>
      </c>
      <c r="E3" s="0" t="n">
        <f aca="false">IFERROR(VLOOKUP(A3,'Ablesung ista &amp; Wasser'!E:E,1,0),"Nicht vorhanden")</f>
        <v>605059311</v>
      </c>
      <c r="F3" s="0" t="str">
        <f aca="false">IF(C3="Kaltwasser",E3-D3,"")</f>
        <v/>
      </c>
      <c r="G3" s="0" t="str">
        <f aca="false">IF(C3="Warmwasser",E3-D3,"")</f>
        <v/>
      </c>
      <c r="H3" s="118" t="str">
        <f aca="false">IF(C3="ista",E3,"")</f>
        <v/>
      </c>
    </row>
    <row r="4" customFormat="false" ht="13.5" hidden="false" customHeight="false" outlineLevel="0" collapsed="false">
      <c r="A4" s="10" t="n">
        <v>605059144</v>
      </c>
      <c r="B4" s="10" t="n">
        <v>968</v>
      </c>
      <c r="C4" s="10" t="n">
        <v>456</v>
      </c>
      <c r="D4" s="10" t="n">
        <v>580</v>
      </c>
      <c r="E4" s="0" t="n">
        <f aca="false">IFERROR(VLOOKUP(A4,'Ablesung ista &amp; Wasser'!E:E,1,0),"Nicht vorhanden")</f>
        <v>605059144</v>
      </c>
      <c r="F4" s="0" t="str">
        <f aca="false">IF(C4="Kaltwasser",E4-D4,"")</f>
        <v/>
      </c>
      <c r="G4" s="0" t="str">
        <f aca="false">IF(C4="Warmwasser",E4-D4,"")</f>
        <v/>
      </c>
      <c r="H4" s="118" t="str">
        <f aca="false">IF(C4="ista",E4,"")</f>
        <v/>
      </c>
    </row>
    <row r="5" customFormat="false" ht="13.5" hidden="false" customHeight="false" outlineLevel="0" collapsed="false">
      <c r="A5" s="10" t="n">
        <v>605059106</v>
      </c>
      <c r="B5" s="10" t="n">
        <v>798</v>
      </c>
      <c r="C5" s="10" t="n">
        <v>1286</v>
      </c>
      <c r="D5" s="10" t="n">
        <v>1057</v>
      </c>
      <c r="E5" s="0" t="n">
        <f aca="false">IFERROR(VLOOKUP(A5,'Ablesung ista &amp; Wasser'!E:E,1,0),"Nicht vorhanden")</f>
        <v>605059106</v>
      </c>
      <c r="F5" s="0" t="str">
        <f aca="false">IF(C5="Kaltwasser",E5-D5,"")</f>
        <v/>
      </c>
      <c r="G5" s="0" t="str">
        <f aca="false">IF(C5="Warmwasser",E5-D5,"")</f>
        <v/>
      </c>
      <c r="H5" s="118" t="str">
        <f aca="false">IF(C5="ista",E5,"")</f>
        <v/>
      </c>
    </row>
    <row r="6" customFormat="false" ht="13.5" hidden="false" customHeight="false" outlineLevel="0" collapsed="false">
      <c r="A6" s="10" t="n">
        <v>605059298</v>
      </c>
      <c r="B6" s="10" t="n">
        <v>459</v>
      </c>
      <c r="C6" s="10" t="n">
        <v>142</v>
      </c>
      <c r="D6" s="10" t="n">
        <v>407</v>
      </c>
      <c r="E6" s="0" t="n">
        <f aca="false">IFERROR(VLOOKUP(A6,'Ablesung ista &amp; Wasser'!E:E,1,0),"Nicht vorhanden")</f>
        <v>605059298</v>
      </c>
      <c r="F6" s="0" t="str">
        <f aca="false">IF(C6="Kaltwasser",E6-D6,"")</f>
        <v/>
      </c>
      <c r="G6" s="0" t="str">
        <f aca="false">IF(C6="Warmwasser",E6-D6,"")</f>
        <v/>
      </c>
      <c r="H6" s="118" t="str">
        <f aca="false">IF(C6="ista",E6,"")</f>
        <v/>
      </c>
    </row>
    <row r="7" customFormat="false" ht="13.5" hidden="false" customHeight="false" outlineLevel="0" collapsed="false">
      <c r="A7" s="10" t="n">
        <v>16128901</v>
      </c>
      <c r="B7" s="10" t="n">
        <v>68.115</v>
      </c>
      <c r="C7" s="10" t="n">
        <v>111.05</v>
      </c>
      <c r="D7" s="10" t="n">
        <v>149.201</v>
      </c>
      <c r="E7" s="0" t="n">
        <f aca="false">IFERROR(VLOOKUP(A7,'Ablesung ista &amp; Wasser'!E:E,1,0),"Nicht vorhanden")</f>
        <v>16128901</v>
      </c>
      <c r="F7" s="0" t="str">
        <f aca="false">IF(C7="Kaltwasser",E7-D7,"")</f>
        <v/>
      </c>
      <c r="G7" s="0" t="str">
        <f aca="false">IF(C7="Warmwasser",E7-D7,"")</f>
        <v/>
      </c>
      <c r="H7" s="118" t="str">
        <f aca="false">IF(C7="ista",E7,"")</f>
        <v/>
      </c>
    </row>
    <row r="8" customFormat="false" ht="13.5" hidden="false" customHeight="false" outlineLevel="0" collapsed="false">
      <c r="A8" s="10" t="n">
        <v>16202910</v>
      </c>
      <c r="B8" s="10" t="n">
        <v>31.536</v>
      </c>
      <c r="C8" s="10" t="n">
        <v>55.3</v>
      </c>
      <c r="D8" s="10" t="n">
        <v>75.29</v>
      </c>
      <c r="E8" s="0" t="n">
        <f aca="false">IFERROR(VLOOKUP(A8,'Ablesung ista &amp; Wasser'!E:E,1,0),"Nicht vorhanden")</f>
        <v>16202910</v>
      </c>
      <c r="F8" s="0" t="str">
        <f aca="false">IF(C8="Kaltwasser",E8-D8,"")</f>
        <v/>
      </c>
      <c r="G8" s="0" t="str">
        <f aca="false">IF(C8="Warmwasser",E8-D8,"")</f>
        <v/>
      </c>
      <c r="H8" s="118" t="str">
        <f aca="false">IF(C8="ista",E8,"")</f>
        <v/>
      </c>
    </row>
    <row r="9" customFormat="false" ht="13.5" hidden="false" customHeight="false" outlineLevel="0" collapsed="false">
      <c r="A9" s="10" t="n">
        <v>602560155</v>
      </c>
      <c r="B9" s="10" t="n">
        <v>2625</v>
      </c>
      <c r="C9" s="10" t="n">
        <v>2575</v>
      </c>
      <c r="D9" s="10" t="n">
        <v>2333</v>
      </c>
      <c r="E9" s="0" t="n">
        <f aca="false">IFERROR(VLOOKUP(A9,'Ablesung ista &amp; Wasser'!E:E,1,0),"Nicht vorhanden")</f>
        <v>602560155</v>
      </c>
      <c r="F9" s="0" t="str">
        <f aca="false">IF(C9="Kaltwasser",E9-D9,"")</f>
        <v/>
      </c>
      <c r="G9" s="0" t="str">
        <f aca="false">IF(C9="Warmwasser",E9-D9,"")</f>
        <v/>
      </c>
      <c r="H9" s="118" t="str">
        <f aca="false">IF(C9="ista",E9,"")</f>
        <v/>
      </c>
    </row>
    <row r="10" customFormat="false" ht="13.5" hidden="false" customHeight="false" outlineLevel="0" collapsed="false">
      <c r="A10" s="10" t="n">
        <v>602560131</v>
      </c>
      <c r="B10" s="10" t="n">
        <v>2040</v>
      </c>
      <c r="C10" s="10" t="n">
        <v>2406</v>
      </c>
      <c r="D10" s="10" t="n">
        <v>1458</v>
      </c>
      <c r="E10" s="0" t="n">
        <f aca="false">IFERROR(VLOOKUP(A10,'Ablesung ista &amp; Wasser'!E:E,1,0),"Nicht vorhanden")</f>
        <v>602560131</v>
      </c>
      <c r="F10" s="0" t="str">
        <f aca="false">IF(C10="Kaltwasser",E10-D10,"")</f>
        <v/>
      </c>
      <c r="G10" s="0" t="str">
        <f aca="false">IF(C10="Warmwasser",E10-D10,"")</f>
        <v/>
      </c>
      <c r="H10" s="118" t="str">
        <f aca="false">IF(C10="ista",E10,"")</f>
        <v/>
      </c>
    </row>
    <row r="11" customFormat="false" ht="13.5" hidden="false" customHeight="false" outlineLevel="0" collapsed="false">
      <c r="A11" s="10" t="n">
        <v>602560230</v>
      </c>
      <c r="B11" s="10" t="n">
        <v>1394</v>
      </c>
      <c r="C11" s="10" t="n">
        <v>1682</v>
      </c>
      <c r="D11" s="10" t="n">
        <v>1907</v>
      </c>
      <c r="E11" s="0" t="n">
        <f aca="false">IFERROR(VLOOKUP(A11,'Ablesung ista &amp; Wasser'!E:E,1,0),"Nicht vorhanden")</f>
        <v>602560230</v>
      </c>
      <c r="F11" s="0" t="str">
        <f aca="false">IF(C11="Kaltwasser",E11-D11,"")</f>
        <v/>
      </c>
      <c r="G11" s="0" t="str">
        <f aca="false">IF(C11="Warmwasser",E11-D11,"")</f>
        <v/>
      </c>
      <c r="H11" s="118" t="str">
        <f aca="false">IF(C11="ista",E11,"")</f>
        <v/>
      </c>
    </row>
    <row r="12" customFormat="false" ht="13.5" hidden="false" customHeight="false" outlineLevel="0" collapsed="false">
      <c r="A12" s="10" t="n">
        <v>602560186</v>
      </c>
      <c r="B12" s="10" t="n">
        <v>80</v>
      </c>
      <c r="C12" s="10" t="n">
        <v>39</v>
      </c>
      <c r="D12" s="10" t="n">
        <v>600</v>
      </c>
      <c r="E12" s="0" t="n">
        <f aca="false">IFERROR(VLOOKUP(A12,'Ablesung ista &amp; Wasser'!E:E,1,0),"Nicht vorhanden")</f>
        <v>602560186</v>
      </c>
      <c r="F12" s="0" t="str">
        <f aca="false">IF(C12="Kaltwasser",E12-D12,"")</f>
        <v/>
      </c>
      <c r="G12" s="0" t="str">
        <f aca="false">IF(C12="Warmwasser",E12-D12,"")</f>
        <v/>
      </c>
      <c r="H12" s="118" t="str">
        <f aca="false">IF(C12="ista",E12,"")</f>
        <v/>
      </c>
    </row>
    <row r="13" customFormat="false" ht="13.5" hidden="false" customHeight="false" outlineLevel="0" collapsed="false">
      <c r="A13" s="10" t="n">
        <v>602560209</v>
      </c>
      <c r="B13" s="10" t="n">
        <v>0</v>
      </c>
      <c r="C13" s="10" t="n">
        <v>0</v>
      </c>
      <c r="D13" s="10" t="n">
        <v>0</v>
      </c>
      <c r="E13" s="0" t="n">
        <f aca="false">IFERROR(VLOOKUP(A13,'Ablesung ista &amp; Wasser'!E:E,1,0),"Nicht vorhanden")</f>
        <v>602560209</v>
      </c>
      <c r="F13" s="0" t="str">
        <f aca="false">IF(C13="Kaltwasser",E13-D13,"")</f>
        <v/>
      </c>
      <c r="G13" s="0" t="str">
        <f aca="false">IF(C13="Warmwasser",E13-D13,"")</f>
        <v/>
      </c>
      <c r="H13" s="118" t="str">
        <f aca="false">IF(C13="ista",E13,"")</f>
        <v/>
      </c>
    </row>
    <row r="14" customFormat="false" ht="13.5" hidden="false" customHeight="false" outlineLevel="0" collapsed="false">
      <c r="A14" s="10" t="n">
        <v>16128973</v>
      </c>
      <c r="B14" s="10" t="n">
        <v>21.297</v>
      </c>
      <c r="C14" s="10" t="n">
        <v>31.774</v>
      </c>
      <c r="D14" s="10" t="n">
        <v>41.231</v>
      </c>
      <c r="E14" s="0" t="n">
        <f aca="false">IFERROR(VLOOKUP(A14,'Ablesung ista &amp; Wasser'!E:E,1,0),"Nicht vorhanden")</f>
        <v>16128973</v>
      </c>
      <c r="F14" s="0" t="str">
        <f aca="false">IF(C14="Kaltwasser",E14-D14,"")</f>
        <v/>
      </c>
      <c r="G14" s="0" t="str">
        <f aca="false">IF(C14="Warmwasser",E14-D14,"")</f>
        <v/>
      </c>
      <c r="H14" s="118" t="str">
        <f aca="false">IF(C14="ista",E14,"")</f>
        <v/>
      </c>
    </row>
    <row r="15" customFormat="false" ht="13.5" hidden="false" customHeight="false" outlineLevel="0" collapsed="false">
      <c r="A15" s="10" t="n">
        <v>14275547</v>
      </c>
      <c r="B15" s="10" t="n">
        <v>6.949</v>
      </c>
      <c r="C15" s="10" t="n">
        <v>10.562</v>
      </c>
      <c r="D15" s="10" t="n">
        <v>13.092</v>
      </c>
      <c r="E15" s="0" t="n">
        <f aca="false">IFERROR(VLOOKUP(A15,'Ablesung ista &amp; Wasser'!E:E,1,0),"Nicht vorhanden")</f>
        <v>14275547</v>
      </c>
      <c r="F15" s="0" t="str">
        <f aca="false">IF(C15="Kaltwasser",E15-D15,"")</f>
        <v/>
      </c>
      <c r="G15" s="0" t="str">
        <f aca="false">IF(C15="Warmwasser",E15-D15,"")</f>
        <v/>
      </c>
      <c r="H15" s="118" t="str">
        <f aca="false">IF(C15="ista",E15,"")</f>
        <v/>
      </c>
    </row>
    <row r="16" customFormat="false" ht="13.5" hidden="false" customHeight="false" outlineLevel="0" collapsed="false">
      <c r="A16" s="10" t="n">
        <v>602560292</v>
      </c>
      <c r="B16" s="10" t="n">
        <v>1391</v>
      </c>
      <c r="C16" s="10" t="n">
        <v>503</v>
      </c>
      <c r="D16" s="10" t="n">
        <v>715</v>
      </c>
      <c r="E16" s="0" t="n">
        <f aca="false">IFERROR(VLOOKUP(A16,'Ablesung ista &amp; Wasser'!E:E,1,0),"Nicht vorhanden")</f>
        <v>602560292</v>
      </c>
      <c r="F16" s="0" t="str">
        <f aca="false">IF(C16="Kaltwasser",E16-D16,"")</f>
        <v/>
      </c>
      <c r="G16" s="0" t="str">
        <f aca="false">IF(C16="Warmwasser",E16-D16,"")</f>
        <v/>
      </c>
      <c r="H16" s="118" t="str">
        <f aca="false">IF(C16="ista",E16,"")</f>
        <v/>
      </c>
    </row>
    <row r="17" customFormat="false" ht="13.5" hidden="false" customHeight="false" outlineLevel="0" collapsed="false">
      <c r="A17" s="10" t="n">
        <v>602560261</v>
      </c>
      <c r="B17" s="10" t="n">
        <v>1347</v>
      </c>
      <c r="C17" s="10" t="n">
        <v>582</v>
      </c>
      <c r="D17" s="10" t="n">
        <v>645</v>
      </c>
      <c r="E17" s="0" t="n">
        <f aca="false">IFERROR(VLOOKUP(A17,'Ablesung ista &amp; Wasser'!E:E,1,0),"Nicht vorhanden")</f>
        <v>602560261</v>
      </c>
      <c r="F17" s="0" t="str">
        <f aca="false">IF(C17="Kaltwasser",E17-D17,"")</f>
        <v/>
      </c>
      <c r="G17" s="0" t="str">
        <f aca="false">IF(C17="Warmwasser",E17-D17,"")</f>
        <v/>
      </c>
      <c r="H17" s="118" t="str">
        <f aca="false">IF(C17="ista",E17,"")</f>
        <v/>
      </c>
    </row>
    <row r="18" customFormat="false" ht="13.5" hidden="false" customHeight="false" outlineLevel="0" collapsed="false">
      <c r="A18" s="10" t="n">
        <v>602560582</v>
      </c>
      <c r="B18" s="10" t="n">
        <v>1191</v>
      </c>
      <c r="C18" s="10" t="n">
        <v>2077</v>
      </c>
      <c r="D18" s="10" t="n">
        <v>1813</v>
      </c>
      <c r="E18" s="0" t="n">
        <f aca="false">IFERROR(VLOOKUP(A18,'Ablesung ista &amp; Wasser'!E:E,1,0),"Nicht vorhanden")</f>
        <v>602560582</v>
      </c>
      <c r="F18" s="0" t="str">
        <f aca="false">IF(C18="Kaltwasser",E18-D18,"")</f>
        <v/>
      </c>
      <c r="G18" s="0" t="str">
        <f aca="false">IF(C18="Warmwasser",E18-D18,"")</f>
        <v/>
      </c>
      <c r="H18" s="118" t="str">
        <f aca="false">IF(C18="ista",E18,"")</f>
        <v/>
      </c>
    </row>
    <row r="19" customFormat="false" ht="13.5" hidden="false" customHeight="false" outlineLevel="0" collapsed="false">
      <c r="A19" s="10" t="n">
        <v>602560278</v>
      </c>
      <c r="B19" s="10" t="n">
        <v>764</v>
      </c>
      <c r="C19" s="10" t="n">
        <v>968</v>
      </c>
      <c r="D19" s="10" t="n">
        <v>813</v>
      </c>
      <c r="E19" s="0" t="n">
        <f aca="false">IFERROR(VLOOKUP(A19,'Ablesung ista &amp; Wasser'!E:E,1,0),"Nicht vorhanden")</f>
        <v>602560278</v>
      </c>
      <c r="F19" s="0" t="str">
        <f aca="false">IF(C19="Kaltwasser",E19-D19,"")</f>
        <v/>
      </c>
      <c r="G19" s="0" t="str">
        <f aca="false">IF(C19="Warmwasser",E19-D19,"")</f>
        <v/>
      </c>
      <c r="H19" s="118" t="str">
        <f aca="false">IF(C19="ista",E19,"")</f>
        <v/>
      </c>
    </row>
    <row r="20" customFormat="false" ht="13.5" hidden="false" customHeight="false" outlineLevel="0" collapsed="false">
      <c r="A20" s="10" t="n">
        <v>602560247</v>
      </c>
      <c r="B20" s="10" t="n">
        <v>697</v>
      </c>
      <c r="C20" s="10" t="n">
        <v>546</v>
      </c>
      <c r="D20" s="10" t="n">
        <v>477</v>
      </c>
      <c r="E20" s="0" t="n">
        <f aca="false">IFERROR(VLOOKUP(A20,'Ablesung ista &amp; Wasser'!E:E,1,0),"Nicht vorhanden")</f>
        <v>602560247</v>
      </c>
      <c r="F20" s="0" t="str">
        <f aca="false">IF(C20="Kaltwasser",E20-D20,"")</f>
        <v/>
      </c>
      <c r="G20" s="0" t="str">
        <f aca="false">IF(C20="Warmwasser",E20-D20,"")</f>
        <v/>
      </c>
      <c r="H20" s="118" t="str">
        <f aca="false">IF(C20="ista",E20,"")</f>
        <v/>
      </c>
    </row>
    <row r="21" customFormat="false" ht="13.5" hidden="false" customHeight="false" outlineLevel="0" collapsed="false">
      <c r="A21" s="10" t="n">
        <v>15990194</v>
      </c>
      <c r="B21" s="10" t="n">
        <v>20.22</v>
      </c>
      <c r="C21" s="10" t="n">
        <v>30.962</v>
      </c>
      <c r="D21" s="10" t="n">
        <v>42.926</v>
      </c>
      <c r="E21" s="0" t="n">
        <f aca="false">IFERROR(VLOOKUP(A21,'Ablesung ista &amp; Wasser'!E:E,1,0),"Nicht vorhanden")</f>
        <v>15990194</v>
      </c>
      <c r="F21" s="0" t="str">
        <f aca="false">IF(C21="Kaltwasser",E21-D21,"")</f>
        <v/>
      </c>
      <c r="G21" s="0" t="str">
        <f aca="false">IF(C21="Warmwasser",E21-D21,"")</f>
        <v/>
      </c>
      <c r="H21" s="118" t="str">
        <f aca="false">IF(C21="ista",E21,"")</f>
        <v/>
      </c>
    </row>
    <row r="22" customFormat="false" ht="13.5" hidden="false" customHeight="false" outlineLevel="0" collapsed="false">
      <c r="A22" s="10" t="n">
        <v>15990192</v>
      </c>
      <c r="B22" s="10" t="n">
        <v>50.081</v>
      </c>
      <c r="C22" s="10" t="n">
        <v>76.764</v>
      </c>
      <c r="D22" s="10" t="n">
        <v>98.095</v>
      </c>
      <c r="E22" s="0" t="n">
        <f aca="false">IFERROR(VLOOKUP(A22,'Ablesung ista &amp; Wasser'!E:E,1,0),"Nicht vorhanden")</f>
        <v>15990192</v>
      </c>
      <c r="F22" s="0" t="str">
        <f aca="false">IF(C22="Kaltwasser",E22-D22,"")</f>
        <v/>
      </c>
      <c r="G22" s="0" t="str">
        <f aca="false">IF(C22="Warmwasser",E22-D22,"")</f>
        <v/>
      </c>
      <c r="H22" s="118" t="str">
        <f aca="false">IF(C22="ista",E22,"")</f>
        <v/>
      </c>
    </row>
    <row r="23" customFormat="false" ht="13.5" hidden="false" customHeight="false" outlineLevel="0" collapsed="false">
      <c r="A23" s="10" t="n">
        <v>16160363</v>
      </c>
      <c r="B23" s="10" t="n">
        <v>6.212</v>
      </c>
      <c r="C23" s="10" t="n">
        <v>31.294</v>
      </c>
      <c r="D23" s="10" t="n">
        <v>27.011</v>
      </c>
      <c r="E23" s="0" t="n">
        <f aca="false">IFERROR(VLOOKUP(A23,'Ablesung ista &amp; Wasser'!E:E,1,0),"Nicht vorhanden")</f>
        <v>16160363</v>
      </c>
      <c r="F23" s="0" t="str">
        <f aca="false">IF(C23="Kaltwasser",E23-D23,"")</f>
        <v/>
      </c>
      <c r="G23" s="0" t="str">
        <f aca="false">IF(C23="Warmwasser",E23-D23,"")</f>
        <v/>
      </c>
      <c r="H23" s="118" t="str">
        <f aca="false">IF(C23="ista",E23,"")</f>
        <v/>
      </c>
    </row>
    <row r="24" customFormat="false" ht="13.5" hidden="false" customHeight="false" outlineLevel="0" collapsed="false">
      <c r="A24" s="10" t="n">
        <v>16160368</v>
      </c>
      <c r="B24" s="10" t="n">
        <v>30.789</v>
      </c>
      <c r="C24" s="10" t="n">
        <v>44.79</v>
      </c>
      <c r="D24" s="10" t="n">
        <v>54.666</v>
      </c>
      <c r="E24" s="0" t="n">
        <f aca="false">IFERROR(VLOOKUP(A24,'Ablesung ista &amp; Wasser'!E:E,1,0),"Nicht vorhanden")</f>
        <v>16160368</v>
      </c>
      <c r="F24" s="0" t="str">
        <f aca="false">IF(C24="Kaltwasser",E24-D24,"")</f>
        <v/>
      </c>
      <c r="G24" s="0" t="str">
        <f aca="false">IF(C24="Warmwasser",E24-D24,"")</f>
        <v/>
      </c>
      <c r="H24" s="118" t="str">
        <f aca="false">IF(C24="ista",E24,"")</f>
        <v/>
      </c>
    </row>
    <row r="25" customFormat="false" ht="13.5" hidden="false" customHeight="false" outlineLevel="0" collapsed="false">
      <c r="A25" s="10" t="n">
        <v>620007533</v>
      </c>
      <c r="B25" s="10" t="n">
        <v>1831</v>
      </c>
      <c r="C25" s="10" t="n">
        <v>1669</v>
      </c>
      <c r="D25" s="10" t="n">
        <v>2131</v>
      </c>
      <c r="E25" s="0" t="n">
        <f aca="false">IFERROR(VLOOKUP(A25,'Ablesung ista &amp; Wasser'!E:E,1,0),"Nicht vorhanden")</f>
        <v>620007533</v>
      </c>
      <c r="F25" s="0" t="str">
        <f aca="false">IF(C25="Kaltwasser",E25-D25,"")</f>
        <v/>
      </c>
      <c r="G25" s="0" t="str">
        <f aca="false">IF(C25="Warmwasser",E25-D25,"")</f>
        <v/>
      </c>
      <c r="H25" s="118" t="str">
        <f aca="false">IF(C25="ista",E25,"")</f>
        <v/>
      </c>
    </row>
    <row r="26" customFormat="false" ht="13.5" hidden="false" customHeight="false" outlineLevel="0" collapsed="false">
      <c r="A26" s="10" t="n">
        <v>620007885</v>
      </c>
      <c r="B26" s="10" t="n">
        <v>1690</v>
      </c>
      <c r="C26" s="10" t="n">
        <v>1477</v>
      </c>
      <c r="D26" s="10" t="n">
        <v>1274</v>
      </c>
      <c r="E26" s="0" t="n">
        <f aca="false">IFERROR(VLOOKUP(A26,'Ablesung ista &amp; Wasser'!E:E,1,0),"Nicht vorhanden")</f>
        <v>620007885</v>
      </c>
      <c r="F26" s="0" t="str">
        <f aca="false">IF(C26="Kaltwasser",E26-D26,"")</f>
        <v/>
      </c>
      <c r="G26" s="0" t="str">
        <f aca="false">IF(C26="Warmwasser",E26-D26,"")</f>
        <v/>
      </c>
      <c r="H26" s="118" t="str">
        <f aca="false">IF(C26="ista",E26,"")</f>
        <v/>
      </c>
    </row>
    <row r="27" customFormat="false" ht="13.5" hidden="false" customHeight="false" outlineLevel="0" collapsed="false">
      <c r="A27" s="10" t="n">
        <v>620009124</v>
      </c>
      <c r="B27" s="10" t="n">
        <v>647</v>
      </c>
      <c r="C27" s="10" t="n">
        <v>497</v>
      </c>
      <c r="D27" s="10" t="n">
        <v>1583</v>
      </c>
      <c r="E27" s="0" t="n">
        <f aca="false">IFERROR(VLOOKUP(A27,'Ablesung ista &amp; Wasser'!E:E,1,0),"Nicht vorhanden")</f>
        <v>620009124</v>
      </c>
      <c r="F27" s="0" t="str">
        <f aca="false">IF(C27="Kaltwasser",E27-D27,"")</f>
        <v/>
      </c>
      <c r="G27" s="0" t="str">
        <f aca="false">IF(C27="Warmwasser",E27-D27,"")</f>
        <v/>
      </c>
      <c r="H27" s="118" t="str">
        <f aca="false">IF(C27="ista",E27,"")</f>
        <v/>
      </c>
    </row>
    <row r="28" customFormat="false" ht="13.5" hidden="false" customHeight="false" outlineLevel="0" collapsed="false">
      <c r="A28" s="10" t="n">
        <v>15989946</v>
      </c>
      <c r="B28" s="10" t="n">
        <v>48.64</v>
      </c>
      <c r="C28" s="10" t="n">
        <v>66.537</v>
      </c>
      <c r="D28" s="10" t="n">
        <v>76.168</v>
      </c>
      <c r="E28" s="0" t="n">
        <f aca="false">IFERROR(VLOOKUP(A28,'Ablesung ista &amp; Wasser'!E:E,1,0),"Nicht vorhanden")</f>
        <v>15989946</v>
      </c>
      <c r="F28" s="0" t="str">
        <f aca="false">IF(C28="Kaltwasser",E28-D28,"")</f>
        <v/>
      </c>
      <c r="G28" s="0" t="str">
        <f aca="false">IF(C28="Warmwasser",E28-D28,"")</f>
        <v/>
      </c>
      <c r="H28" s="118" t="str">
        <f aca="false">IF(C28="ista",E28,"")</f>
        <v/>
      </c>
    </row>
    <row r="29" customFormat="false" ht="13.5" hidden="false" customHeight="false" outlineLevel="0" collapsed="false">
      <c r="A29" s="10" t="n">
        <v>15997904</v>
      </c>
      <c r="B29" s="10" t="n">
        <v>26.076</v>
      </c>
      <c r="C29" s="10" t="n">
        <v>38.366</v>
      </c>
      <c r="D29" s="10" t="n">
        <v>43.86</v>
      </c>
      <c r="E29" s="0" t="n">
        <f aca="false">IFERROR(VLOOKUP(A29,'Ablesung ista &amp; Wasser'!E:E,1,0),"Nicht vorhanden")</f>
        <v>15997904</v>
      </c>
      <c r="F29" s="0" t="str">
        <f aca="false">IF(C29="Kaltwasser",E29-D29,"")</f>
        <v/>
      </c>
      <c r="G29" s="0" t="str">
        <f aca="false">IF(C29="Warmwasser",E29-D29,"")</f>
        <v/>
      </c>
      <c r="H29" s="118" t="str">
        <f aca="false">IF(C29="ista",E29,"")</f>
        <v/>
      </c>
    </row>
    <row r="30" customFormat="false" ht="13.5" hidden="false" customHeight="false" outlineLevel="0" collapsed="false">
      <c r="A30" s="10" t="n">
        <v>611095532</v>
      </c>
      <c r="B30" s="10" t="n">
        <v>1328</v>
      </c>
      <c r="C30" s="10" t="n">
        <v>106</v>
      </c>
      <c r="D30" s="10" t="n">
        <v>952</v>
      </c>
      <c r="E30" s="0" t="n">
        <f aca="false">IFERROR(VLOOKUP(A30,'Ablesung ista &amp; Wasser'!E:E,1,0),"Nicht vorhanden")</f>
        <v>611095532</v>
      </c>
      <c r="F30" s="0" t="str">
        <f aca="false">IF(C30="Kaltwasser",E30-D30,"")</f>
        <v/>
      </c>
      <c r="G30" s="0" t="str">
        <f aca="false">IF(C30="Warmwasser",E30-D30,"")</f>
        <v/>
      </c>
      <c r="H30" s="118" t="str">
        <f aca="false">IF(C30="ista",E30,"")</f>
        <v/>
      </c>
    </row>
    <row r="31" customFormat="false" ht="13.5" hidden="false" customHeight="false" outlineLevel="0" collapsed="false">
      <c r="A31" s="10" t="n">
        <v>611095464</v>
      </c>
      <c r="B31" s="10" t="n">
        <v>303</v>
      </c>
      <c r="C31" s="10" t="n">
        <v>47</v>
      </c>
      <c r="D31" s="10" t="n">
        <v>848</v>
      </c>
      <c r="E31" s="0" t="n">
        <f aca="false">IFERROR(VLOOKUP(A31,'Ablesung ista &amp; Wasser'!E:E,1,0),"Nicht vorhanden")</f>
        <v>611095464</v>
      </c>
      <c r="F31" s="0" t="str">
        <f aca="false">IF(C31="Kaltwasser",E31-D31,"")</f>
        <v/>
      </c>
      <c r="G31" s="0" t="str">
        <f aca="false">IF(C31="Warmwasser",E31-D31,"")</f>
        <v/>
      </c>
      <c r="H31" s="118" t="str">
        <f aca="false">IF(C31="ista",E31,"")</f>
        <v/>
      </c>
    </row>
    <row r="32" customFormat="false" ht="13.5" hidden="false" customHeight="false" outlineLevel="0" collapsed="false">
      <c r="A32" s="10" t="n">
        <v>611095518</v>
      </c>
      <c r="B32" s="10" t="n">
        <v>0</v>
      </c>
      <c r="C32" s="10" t="n">
        <v>0</v>
      </c>
      <c r="D32" s="10" t="n">
        <v>324</v>
      </c>
      <c r="E32" s="0" t="n">
        <f aca="false">IFERROR(VLOOKUP(A32,'Ablesung ista &amp; Wasser'!E:E,1,0),"Nicht vorhanden")</f>
        <v>611095518</v>
      </c>
      <c r="F32" s="0" t="str">
        <f aca="false">IF(C32="Kaltwasser",E32-D32,"")</f>
        <v/>
      </c>
      <c r="G32" s="0" t="str">
        <f aca="false">IF(C32="Warmwasser",E32-D32,"")</f>
        <v/>
      </c>
      <c r="H32" s="118" t="str">
        <f aca="false">IF(C32="ista",E32,"")</f>
        <v/>
      </c>
    </row>
    <row r="33" customFormat="false" ht="13.5" hidden="false" customHeight="false" outlineLevel="0" collapsed="false">
      <c r="A33" s="10" t="n">
        <v>15990189</v>
      </c>
      <c r="B33" s="10" t="n">
        <v>29.199</v>
      </c>
      <c r="C33" s="10" t="n">
        <v>44.712</v>
      </c>
      <c r="D33" s="10" t="n">
        <v>57.784</v>
      </c>
      <c r="E33" s="0" t="n">
        <f aca="false">IFERROR(VLOOKUP(A33,'Ablesung ista &amp; Wasser'!E:E,1,0),"Nicht vorhanden")</f>
        <v>15990189</v>
      </c>
      <c r="F33" s="0" t="str">
        <f aca="false">IF(C33="Kaltwasser",E33-D33,"")</f>
        <v/>
      </c>
      <c r="G33" s="0" t="str">
        <f aca="false">IF(C33="Warmwasser",E33-D33,"")</f>
        <v/>
      </c>
      <c r="H33" s="118" t="str">
        <f aca="false">IF(C33="ista",E33,"")</f>
        <v/>
      </c>
    </row>
    <row r="34" customFormat="false" ht="13.5" hidden="false" customHeight="false" outlineLevel="0" collapsed="false">
      <c r="A34" s="10" t="n">
        <v>16129394</v>
      </c>
      <c r="B34" s="10" t="n">
        <v>4.031</v>
      </c>
      <c r="C34" s="10" t="n">
        <v>8.924</v>
      </c>
      <c r="D34" s="10" t="n">
        <v>15.003</v>
      </c>
      <c r="E34" s="0" t="n">
        <f aca="false">IFERROR(VLOOKUP(A34,'Ablesung ista &amp; Wasser'!E:E,1,0),"Nicht vorhanden")</f>
        <v>16129394</v>
      </c>
      <c r="F34" s="0" t="str">
        <f aca="false">IF(C34="Kaltwasser",E34-D34,"")</f>
        <v/>
      </c>
      <c r="G34" s="0" t="str">
        <f aca="false">IF(C34="Warmwasser",E34-D34,"")</f>
        <v/>
      </c>
      <c r="H34" s="118" t="str">
        <f aca="false">IF(C34="ista",E34,"")</f>
        <v/>
      </c>
    </row>
    <row r="35" customFormat="false" ht="13.5" hidden="false" customHeight="false" outlineLevel="0" collapsed="false">
      <c r="A35" s="10" t="n">
        <v>611095204</v>
      </c>
      <c r="B35" s="10" t="n">
        <v>1797</v>
      </c>
      <c r="C35" s="10" t="n">
        <v>1199</v>
      </c>
      <c r="D35" s="10" t="n">
        <v>980</v>
      </c>
      <c r="E35" s="0" t="n">
        <f aca="false">IFERROR(VLOOKUP(A35,'Ablesung ista &amp; Wasser'!E:E,1,0),"Nicht vorhanden")</f>
        <v>611095204</v>
      </c>
      <c r="F35" s="0" t="str">
        <f aca="false">IF(C35="Kaltwasser",E35-D35,"")</f>
        <v/>
      </c>
      <c r="G35" s="0" t="str">
        <f aca="false">IF(C35="Warmwasser",E35-D35,"")</f>
        <v/>
      </c>
      <c r="H35" s="118" t="str">
        <f aca="false">IF(C35="ista",E35,"")</f>
        <v/>
      </c>
    </row>
    <row r="36" customFormat="false" ht="13.5" hidden="false" customHeight="false" outlineLevel="0" collapsed="false">
      <c r="A36" s="10" t="n">
        <v>611095211</v>
      </c>
      <c r="B36" s="10" t="n">
        <v>1201</v>
      </c>
      <c r="C36" s="10" t="n">
        <v>1223</v>
      </c>
      <c r="D36" s="10" t="n">
        <v>1164</v>
      </c>
      <c r="E36" s="0" t="n">
        <f aca="false">IFERROR(VLOOKUP(A36,'Ablesung ista &amp; Wasser'!E:E,1,0),"Nicht vorhanden")</f>
        <v>611095211</v>
      </c>
      <c r="F36" s="0" t="str">
        <f aca="false">IF(C36="Kaltwasser",E36-D36,"")</f>
        <v/>
      </c>
      <c r="G36" s="0" t="str">
        <f aca="false">IF(C36="Warmwasser",E36-D36,"")</f>
        <v/>
      </c>
      <c r="H36" s="118" t="str">
        <f aca="false">IF(C36="ista",E36,"")</f>
        <v/>
      </c>
    </row>
    <row r="37" customFormat="false" ht="13.5" hidden="false" customHeight="false" outlineLevel="0" collapsed="false">
      <c r="A37" s="10" t="n">
        <v>611095983</v>
      </c>
      <c r="B37" s="10" t="n">
        <v>850</v>
      </c>
      <c r="C37" s="10" t="n">
        <v>619</v>
      </c>
      <c r="D37" s="10" t="n">
        <v>307</v>
      </c>
      <c r="E37" s="0" t="n">
        <f aca="false">IFERROR(VLOOKUP(A37,'Ablesung ista &amp; Wasser'!E:E,1,0),"Nicht vorhanden")</f>
        <v>611095983</v>
      </c>
      <c r="F37" s="0" t="str">
        <f aca="false">IF(C37="Kaltwasser",E37-D37,"")</f>
        <v/>
      </c>
      <c r="G37" s="0" t="str">
        <f aca="false">IF(C37="Warmwasser",E37-D37,"")</f>
        <v/>
      </c>
      <c r="H37" s="118" t="str">
        <f aca="false">IF(C37="ista",E37,"")</f>
        <v/>
      </c>
    </row>
    <row r="38" customFormat="false" ht="13.5" hidden="false" customHeight="false" outlineLevel="0" collapsed="false">
      <c r="A38" s="10" t="n">
        <v>611096027</v>
      </c>
      <c r="B38" s="10" t="n">
        <v>570</v>
      </c>
      <c r="C38" s="10" t="n">
        <v>1178</v>
      </c>
      <c r="D38" s="10" t="n">
        <v>930</v>
      </c>
      <c r="E38" s="0" t="n">
        <f aca="false">IFERROR(VLOOKUP(A38,'Ablesung ista &amp; Wasser'!E:E,1,0),"Nicht vorhanden")</f>
        <v>611096027</v>
      </c>
      <c r="F38" s="0" t="str">
        <f aca="false">IF(C38="Kaltwasser",E38-D38,"")</f>
        <v/>
      </c>
      <c r="G38" s="0" t="str">
        <f aca="false">IF(C38="Warmwasser",E38-D38,"")</f>
        <v/>
      </c>
      <c r="H38" s="118" t="str">
        <f aca="false">IF(C38="ista",E38,"")</f>
        <v/>
      </c>
    </row>
    <row r="39" customFormat="false" ht="13.5" hidden="false" customHeight="false" outlineLevel="0" collapsed="false">
      <c r="A39" s="10" t="n">
        <v>611095235</v>
      </c>
      <c r="B39" s="10" t="n">
        <v>226</v>
      </c>
      <c r="C39" s="10" t="n">
        <v>25</v>
      </c>
      <c r="D39" s="10" t="n">
        <v>165</v>
      </c>
      <c r="E39" s="0" t="n">
        <f aca="false">IFERROR(VLOOKUP(A39,'Ablesung ista &amp; Wasser'!E:E,1,0),"Nicht vorhanden")</f>
        <v>611095235</v>
      </c>
      <c r="F39" s="0" t="str">
        <f aca="false">IF(C39="Kaltwasser",E39-D39,"")</f>
        <v/>
      </c>
      <c r="G39" s="0" t="str">
        <f aca="false">IF(C39="Warmwasser",E39-D39,"")</f>
        <v/>
      </c>
      <c r="H39" s="118" t="str">
        <f aca="false">IF(C39="ista",E39,"")</f>
        <v/>
      </c>
    </row>
    <row r="40" customFormat="false" ht="13.5" hidden="false" customHeight="false" outlineLevel="0" collapsed="false">
      <c r="A40" s="10" t="n">
        <v>16201339</v>
      </c>
      <c r="B40" s="10" t="n">
        <v>27.358</v>
      </c>
      <c r="C40" s="10" t="n">
        <v>46.421</v>
      </c>
      <c r="D40" s="10" t="n">
        <v>71.166</v>
      </c>
      <c r="E40" s="0" t="n">
        <f aca="false">IFERROR(VLOOKUP(A40,'Ablesung ista &amp; Wasser'!E:E,1,0),"Nicht vorhanden")</f>
        <v>16201339</v>
      </c>
      <c r="F40" s="0" t="str">
        <f aca="false">IF(C40="Kaltwasser",E40-D40,"")</f>
        <v/>
      </c>
      <c r="G40" s="0" t="str">
        <f aca="false">IF(C40="Warmwasser",E40-D40,"")</f>
        <v/>
      </c>
      <c r="H40" s="118" t="str">
        <f aca="false">IF(C40="ista",E40,"")</f>
        <v/>
      </c>
    </row>
    <row r="41" customFormat="false" ht="13.5" hidden="false" customHeight="false" outlineLevel="0" collapsed="false">
      <c r="A41" s="10" t="n">
        <v>16201328</v>
      </c>
      <c r="B41" s="10" t="n">
        <v>43.493</v>
      </c>
      <c r="C41" s="10" t="n">
        <v>67.339</v>
      </c>
      <c r="D41" s="10" t="n">
        <v>88.354</v>
      </c>
      <c r="E41" s="0" t="n">
        <f aca="false">IFERROR(VLOOKUP(A41,'Ablesung ista &amp; Wasser'!E:E,1,0),"Nicht vorhanden")</f>
        <v>16201328</v>
      </c>
      <c r="F41" s="0" t="str">
        <f aca="false">IF(C41="Kaltwasser",E41-D41,"")</f>
        <v/>
      </c>
      <c r="G41" s="0" t="str">
        <f aca="false">IF(C41="Warmwasser",E41-D41,"")</f>
        <v/>
      </c>
      <c r="H41" s="118" t="str">
        <f aca="false">IF(C41="ista",E41,"")</f>
        <v/>
      </c>
    </row>
    <row r="42" customFormat="false" ht="13.5" hidden="false" customHeight="false" outlineLevel="0" collapsed="false">
      <c r="A42" s="10" t="n">
        <v>16160294</v>
      </c>
      <c r="B42" s="10" t="n">
        <v>4.24</v>
      </c>
      <c r="C42" s="10" t="n">
        <v>6.733</v>
      </c>
      <c r="D42" s="10" t="n">
        <v>9.665</v>
      </c>
      <c r="E42" s="0" t="n">
        <f aca="false">IFERROR(VLOOKUP(A42,'Ablesung ista &amp; Wasser'!E:E,1,0),"Nicht vorhanden")</f>
        <v>16160294</v>
      </c>
      <c r="F42" s="0" t="str">
        <f aca="false">IF(C42="Kaltwasser",E42-D42,"")</f>
        <v/>
      </c>
      <c r="G42" s="0" t="str">
        <f aca="false">IF(C42="Warmwasser",E42-D42,"")</f>
        <v/>
      </c>
      <c r="H42" s="118" t="str">
        <f aca="false">IF(C42="ista",E42,"")</f>
        <v/>
      </c>
    </row>
    <row r="43" customFormat="false" ht="13.5" hidden="false" customHeight="false" outlineLevel="0" collapsed="false">
      <c r="A43" s="10" t="n">
        <v>16160297</v>
      </c>
      <c r="B43" s="10" t="n">
        <v>20.585</v>
      </c>
      <c r="C43" s="10" t="n">
        <v>29.382</v>
      </c>
      <c r="D43" s="10" t="n">
        <v>37.622</v>
      </c>
      <c r="E43" s="0" t="n">
        <f aca="false">IFERROR(VLOOKUP(A43,'Ablesung ista &amp; Wasser'!E:E,1,0),"Nicht vorhanden")</f>
        <v>16160297</v>
      </c>
      <c r="F43" s="0" t="str">
        <f aca="false">IF(C43="Kaltwasser",E43-D43,"")</f>
        <v/>
      </c>
      <c r="G43" s="0" t="str">
        <f aca="false">IF(C43="Warmwasser",E43-D43,"")</f>
        <v/>
      </c>
      <c r="H43" s="118" t="str">
        <f aca="false">IF(C43="ista",E43,"")</f>
        <v/>
      </c>
    </row>
    <row r="44" customFormat="false" ht="13.5" hidden="false" customHeight="false" outlineLevel="0" collapsed="false">
      <c r="A44" s="10" t="n">
        <v>607269718</v>
      </c>
      <c r="B44" s="10" t="n">
        <v>3833</v>
      </c>
      <c r="C44" s="10" t="n">
        <v>3771</v>
      </c>
      <c r="D44" s="10" t="n">
        <v>3781</v>
      </c>
      <c r="E44" s="0" t="n">
        <f aca="false">IFERROR(VLOOKUP(A44,'Ablesung ista &amp; Wasser'!E:E,1,0),"Nicht vorhanden")</f>
        <v>607269718</v>
      </c>
      <c r="F44" s="0" t="str">
        <f aca="false">IF(C44="Kaltwasser",E44-D44,"")</f>
        <v/>
      </c>
      <c r="G44" s="0" t="str">
        <f aca="false">IF(C44="Warmwasser",E44-D44,"")</f>
        <v/>
      </c>
      <c r="H44" s="118" t="str">
        <f aca="false">IF(C44="ista",E44,"")</f>
        <v/>
      </c>
    </row>
    <row r="45" customFormat="false" ht="13.5" hidden="false" customHeight="false" outlineLevel="0" collapsed="false">
      <c r="A45" s="10" t="n">
        <v>607269756</v>
      </c>
      <c r="B45" s="10" t="n">
        <v>2448</v>
      </c>
      <c r="C45" s="10" t="n">
        <v>2300</v>
      </c>
      <c r="D45" s="10" t="n">
        <v>2294</v>
      </c>
      <c r="E45" s="0" t="n">
        <f aca="false">IFERROR(VLOOKUP(A45,'Ablesung ista &amp; Wasser'!E:E,1,0),"Nicht vorhanden")</f>
        <v>607269756</v>
      </c>
      <c r="F45" s="0" t="str">
        <f aca="false">IF(C45="Kaltwasser",E45-D45,"")</f>
        <v/>
      </c>
      <c r="G45" s="0" t="str">
        <f aca="false">IF(C45="Warmwasser",E45-D45,"")</f>
        <v/>
      </c>
      <c r="H45" s="118" t="str">
        <f aca="false">IF(C45="ista",E45,"")</f>
        <v/>
      </c>
    </row>
    <row r="46" customFormat="false" ht="13.5" hidden="false" customHeight="false" outlineLevel="0" collapsed="false">
      <c r="A46" s="10" t="n">
        <v>607269787</v>
      </c>
      <c r="B46" s="10" t="n">
        <v>2323</v>
      </c>
      <c r="C46" s="10" t="n">
        <v>2135</v>
      </c>
      <c r="D46" s="10" t="n">
        <v>2131</v>
      </c>
      <c r="E46" s="0" t="n">
        <f aca="false">IFERROR(VLOOKUP(A46,'Ablesung ista &amp; Wasser'!E:E,1,0),"Nicht vorhanden")</f>
        <v>607269787</v>
      </c>
      <c r="F46" s="0" t="str">
        <f aca="false">IF(C46="Kaltwasser",E46-D46,"")</f>
        <v/>
      </c>
      <c r="G46" s="0" t="str">
        <f aca="false">IF(C46="Warmwasser",E46-D46,"")</f>
        <v/>
      </c>
      <c r="H46" s="118" t="str">
        <f aca="false">IF(C46="ista",E46,"")</f>
        <v/>
      </c>
    </row>
    <row r="47" customFormat="false" ht="13.5" hidden="false" customHeight="false" outlineLevel="0" collapsed="false">
      <c r="A47" s="10" t="n">
        <v>607269671</v>
      </c>
      <c r="B47" s="10" t="n">
        <v>2225</v>
      </c>
      <c r="C47" s="10" t="n">
        <v>1678</v>
      </c>
      <c r="D47" s="10" t="n">
        <v>1714</v>
      </c>
      <c r="E47" s="0" t="n">
        <f aca="false">IFERROR(VLOOKUP(A47,'Ablesung ista &amp; Wasser'!E:E,1,0),"Nicht vorhanden")</f>
        <v>607269671</v>
      </c>
      <c r="F47" s="0" t="str">
        <f aca="false">IF(C47="Kaltwasser",E47-D47,"")</f>
        <v/>
      </c>
      <c r="G47" s="0" t="str">
        <f aca="false">IF(C47="Warmwasser",E47-D47,"")</f>
        <v/>
      </c>
      <c r="H47" s="118" t="str">
        <f aca="false">IF(C47="ista",E47,"")</f>
        <v/>
      </c>
    </row>
    <row r="48" customFormat="false" ht="13.5" hidden="false" customHeight="false" outlineLevel="0" collapsed="false">
      <c r="A48" s="10" t="n">
        <v>607269794</v>
      </c>
      <c r="B48" s="10" t="n">
        <v>1871</v>
      </c>
      <c r="C48" s="10" t="n">
        <v>1957</v>
      </c>
      <c r="D48" s="10" t="n">
        <v>2494</v>
      </c>
      <c r="E48" s="0" t="n">
        <f aca="false">IFERROR(VLOOKUP(A48,'Ablesung ista &amp; Wasser'!E:E,1,0),"Nicht vorhanden")</f>
        <v>607269794</v>
      </c>
      <c r="F48" s="0" t="str">
        <f aca="false">IF(C48="Kaltwasser",E48-D48,"")</f>
        <v/>
      </c>
      <c r="G48" s="0" t="str">
        <f aca="false">IF(C48="Warmwasser",E48-D48,"")</f>
        <v/>
      </c>
      <c r="H48" s="118" t="str">
        <f aca="false">IF(C48="ista",E48,"")</f>
        <v/>
      </c>
    </row>
    <row r="49" customFormat="false" ht="13.5" hidden="false" customHeight="false" outlineLevel="0" collapsed="false">
      <c r="A49" s="10" t="n">
        <v>16201324</v>
      </c>
      <c r="B49" s="10" t="n">
        <v>57.144</v>
      </c>
      <c r="C49" s="10" t="n">
        <v>100.704</v>
      </c>
      <c r="D49" s="10" t="n">
        <v>133.938</v>
      </c>
      <c r="E49" s="0" t="n">
        <f aca="false">IFERROR(VLOOKUP(A49,'Ablesung ista &amp; Wasser'!E:E,1,0),"Nicht vorhanden")</f>
        <v>16201324</v>
      </c>
      <c r="F49" s="0" t="str">
        <f aca="false">IF(C49="Kaltwasser",E49-D49,"")</f>
        <v/>
      </c>
      <c r="G49" s="0" t="str">
        <f aca="false">IF(C49="Warmwasser",E49-D49,"")</f>
        <v/>
      </c>
      <c r="H49" s="118" t="str">
        <f aca="false">IF(C49="ista",E49,"")</f>
        <v/>
      </c>
    </row>
    <row r="50" customFormat="false" ht="13.5" hidden="false" customHeight="false" outlineLevel="0" collapsed="false">
      <c r="A50" s="10" t="n">
        <v>16160295</v>
      </c>
      <c r="B50" s="10" t="n">
        <v>16.293</v>
      </c>
      <c r="C50" s="10" t="n">
        <v>31.191</v>
      </c>
      <c r="D50" s="10" t="n">
        <v>41.942</v>
      </c>
      <c r="E50" s="0" t="n">
        <f aca="false">IFERROR(VLOOKUP(A50,'Ablesung ista &amp; Wasser'!E:E,1,0),"Nicht vorhanden")</f>
        <v>16160295</v>
      </c>
      <c r="F50" s="0" t="str">
        <f aca="false">IF(C50="Kaltwasser",E50-D50,"")</f>
        <v/>
      </c>
      <c r="G50" s="0" t="str">
        <f aca="false">IF(C50="Warmwasser",E50-D50,"")</f>
        <v/>
      </c>
      <c r="H50" s="118" t="str">
        <f aca="false">IF(C50="ista",E50,"")</f>
        <v/>
      </c>
    </row>
    <row r="51" customFormat="false" ht="13.5" hidden="false" customHeight="false" outlineLevel="0" collapsed="false">
      <c r="A51" s="10" t="n">
        <v>611095426</v>
      </c>
      <c r="B51" s="10" t="n">
        <v>2198</v>
      </c>
      <c r="C51" s="10" t="n">
        <v>2131</v>
      </c>
      <c r="D51" s="10" t="n">
        <v>2544</v>
      </c>
      <c r="E51" s="0" t="n">
        <f aca="false">IFERROR(VLOOKUP(A51,'Ablesung ista &amp; Wasser'!E:E,1,0),"Nicht vorhanden")</f>
        <v>611095426</v>
      </c>
      <c r="F51" s="0" t="str">
        <f aca="false">IF(C51="Kaltwasser",E51-D51,"")</f>
        <v/>
      </c>
      <c r="G51" s="0" t="str">
        <f aca="false">IF(C51="Warmwasser",E51-D51,"")</f>
        <v/>
      </c>
      <c r="H51" s="118" t="str">
        <f aca="false">IF(C51="ista",E51,"")</f>
        <v/>
      </c>
    </row>
    <row r="52" customFormat="false" ht="13.5" hidden="false" customHeight="false" outlineLevel="0" collapsed="false">
      <c r="A52" s="10" t="n">
        <v>611095303</v>
      </c>
      <c r="B52" s="10" t="n">
        <v>1426</v>
      </c>
      <c r="C52" s="10" t="n">
        <v>926</v>
      </c>
      <c r="D52" s="10" t="n">
        <v>1415</v>
      </c>
      <c r="E52" s="0" t="n">
        <f aca="false">IFERROR(VLOOKUP(A52,'Ablesung ista &amp; Wasser'!E:E,1,0),"Nicht vorhanden")</f>
        <v>611095303</v>
      </c>
      <c r="F52" s="0" t="str">
        <f aca="false">IF(C52="Kaltwasser",E52-D52,"")</f>
        <v/>
      </c>
      <c r="G52" s="0" t="str">
        <f aca="false">IF(C52="Warmwasser",E52-D52,"")</f>
        <v/>
      </c>
      <c r="H52" s="118" t="str">
        <f aca="false">IF(C52="ista",E52,"")</f>
        <v/>
      </c>
    </row>
    <row r="53" customFormat="false" ht="13.5" hidden="false" customHeight="false" outlineLevel="0" collapsed="false">
      <c r="A53" s="10" t="n">
        <v>611095341</v>
      </c>
      <c r="B53" s="10" t="n">
        <v>436</v>
      </c>
      <c r="C53" s="10" t="n">
        <v>557</v>
      </c>
      <c r="D53" s="10" t="n">
        <v>1395</v>
      </c>
      <c r="E53" s="0" t="n">
        <f aca="false">IFERROR(VLOOKUP(A53,'Ablesung ista &amp; Wasser'!E:E,1,0),"Nicht vorhanden")</f>
        <v>611095341</v>
      </c>
      <c r="F53" s="0" t="str">
        <f aca="false">IF(C53="Kaltwasser",E53-D53,"")</f>
        <v/>
      </c>
      <c r="G53" s="0" t="str">
        <f aca="false">IF(C53="Warmwasser",E53-D53,"")</f>
        <v/>
      </c>
      <c r="H53" s="118" t="str">
        <f aca="false">IF(C53="ista",E53,"")</f>
        <v/>
      </c>
    </row>
    <row r="54" customFormat="false" ht="13.5" hidden="false" customHeight="false" outlineLevel="0" collapsed="false">
      <c r="A54" s="10" t="n">
        <v>611095259</v>
      </c>
      <c r="B54" s="10" t="n">
        <v>391</v>
      </c>
      <c r="C54" s="10" t="n">
        <v>344</v>
      </c>
      <c r="D54" s="10" t="n">
        <v>169</v>
      </c>
      <c r="E54" s="0" t="n">
        <f aca="false">IFERROR(VLOOKUP(A54,'Ablesung ista &amp; Wasser'!E:E,1,0),"Nicht vorhanden")</f>
        <v>611095259</v>
      </c>
      <c r="F54" s="0" t="str">
        <f aca="false">IF(C54="Kaltwasser",E54-D54,"")</f>
        <v/>
      </c>
      <c r="G54" s="0" t="str">
        <f aca="false">IF(C54="Warmwasser",E54-D54,"")</f>
        <v/>
      </c>
      <c r="H54" s="118" t="str">
        <f aca="false">IF(C54="ista",E54,"")</f>
        <v/>
      </c>
    </row>
    <row r="55" customFormat="false" ht="13.5" hidden="false" customHeight="false" outlineLevel="0" collapsed="false">
      <c r="A55" s="10" t="n">
        <v>611095327</v>
      </c>
      <c r="B55" s="10" t="n">
        <v>118</v>
      </c>
      <c r="C55" s="10" t="n">
        <v>754</v>
      </c>
      <c r="D55" s="10" t="n">
        <v>915</v>
      </c>
      <c r="E55" s="0" t="n">
        <f aca="false">IFERROR(VLOOKUP(A55,'Ablesung ista &amp; Wasser'!E:E,1,0),"Nicht vorhanden")</f>
        <v>611095327</v>
      </c>
      <c r="F55" s="0" t="str">
        <f aca="false">IF(C55="Kaltwasser",E55-D55,"")</f>
        <v/>
      </c>
      <c r="G55" s="0" t="str">
        <f aca="false">IF(C55="Warmwasser",E55-D55,"")</f>
        <v/>
      </c>
      <c r="H55" s="118" t="str">
        <f aca="false">IF(C55="ista",E55,"")</f>
        <v/>
      </c>
    </row>
    <row r="56" customFormat="false" ht="13.5" hidden="false" customHeight="false" outlineLevel="0" collapsed="false">
      <c r="A56" s="10" t="n">
        <v>16128979</v>
      </c>
      <c r="B56" s="10" t="n">
        <v>45.981</v>
      </c>
      <c r="C56" s="10" t="n">
        <v>81.819</v>
      </c>
      <c r="D56" s="10"/>
      <c r="E56" s="0" t="n">
        <f aca="false">IFERROR(VLOOKUP(A56,'Ablesung ista &amp; Wasser'!E:E,1,0),"Nicht vorhanden")</f>
        <v>16128979</v>
      </c>
      <c r="F56" s="0" t="str">
        <f aca="false">IF(C56="Kaltwasser",E56-D56,"")</f>
        <v/>
      </c>
      <c r="G56" s="0" t="str">
        <f aca="false">IF(C56="Warmwasser",E56-D56,"")</f>
        <v/>
      </c>
      <c r="H56" s="118" t="str">
        <f aca="false">IF(C56="ista",E56,"")</f>
        <v/>
      </c>
    </row>
    <row r="57" customFormat="false" ht="13.5" hidden="false" customHeight="false" outlineLevel="0" collapsed="false">
      <c r="A57" s="10" t="n">
        <v>15997896</v>
      </c>
      <c r="B57" s="10" t="n">
        <v>8.696</v>
      </c>
      <c r="C57" s="10" t="n">
        <v>15.724</v>
      </c>
      <c r="D57" s="10"/>
      <c r="E57" s="0" t="n">
        <f aca="false">IFERROR(VLOOKUP(A57,'Ablesung ista &amp; Wasser'!E:E,1,0),"Nicht vorhanden")</f>
        <v>15997896</v>
      </c>
      <c r="F57" s="0" t="str">
        <f aca="false">IF(C57="Kaltwasser",E57-D57,"")</f>
        <v/>
      </c>
      <c r="G57" s="0" t="str">
        <f aca="false">IF(C57="Warmwasser",E57-D57,"")</f>
        <v/>
      </c>
      <c r="H57" s="118" t="str">
        <f aca="false">IF(C57="ista",E57,"")</f>
        <v/>
      </c>
    </row>
    <row r="58" customFormat="false" ht="13.5" hidden="false" customHeight="false" outlineLevel="0" collapsed="false">
      <c r="A58" s="10" t="n">
        <v>605059366</v>
      </c>
      <c r="B58" s="10" t="n">
        <v>2997</v>
      </c>
      <c r="C58" s="10" t="n">
        <v>3176</v>
      </c>
      <c r="D58" s="10" t="n">
        <v>1497</v>
      </c>
      <c r="E58" s="0" t="n">
        <f aca="false">IFERROR(VLOOKUP(A58,'Ablesung ista &amp; Wasser'!E:E,1,0),"Nicht vorhanden")</f>
        <v>605059366</v>
      </c>
      <c r="F58" s="0" t="str">
        <f aca="false">IF(C58="Kaltwasser",E58-D58,"")</f>
        <v/>
      </c>
      <c r="G58" s="0" t="str">
        <f aca="false">IF(C58="Warmwasser",E58-D58,"")</f>
        <v/>
      </c>
      <c r="H58" s="118" t="str">
        <f aca="false">IF(C58="ista",E58,"")</f>
        <v/>
      </c>
    </row>
    <row r="59" customFormat="false" ht="13.5" hidden="false" customHeight="false" outlineLevel="0" collapsed="false">
      <c r="A59" s="10" t="n">
        <v>602560025</v>
      </c>
      <c r="B59" s="10" t="n">
        <v>1091</v>
      </c>
      <c r="C59" s="10" t="n">
        <v>871</v>
      </c>
      <c r="D59" s="10" t="n">
        <v>882</v>
      </c>
      <c r="E59" s="0" t="n">
        <f aca="false">IFERROR(VLOOKUP(A59,'Ablesung ista &amp; Wasser'!E:E,1,0),"Nicht vorhanden")</f>
        <v>602560025</v>
      </c>
      <c r="F59" s="0" t="str">
        <f aca="false">IF(C59="Kaltwasser",E59-D59,"")</f>
        <v/>
      </c>
      <c r="G59" s="0" t="str">
        <f aca="false">IF(C59="Warmwasser",E59-D59,"")</f>
        <v/>
      </c>
      <c r="H59" s="118" t="str">
        <f aca="false">IF(C59="ista",E59,"")</f>
        <v/>
      </c>
    </row>
    <row r="60" customFormat="false" ht="13.5" hidden="false" customHeight="false" outlineLevel="0" collapsed="false">
      <c r="A60" s="10" t="n">
        <v>602560018</v>
      </c>
      <c r="B60" s="10" t="n">
        <v>817</v>
      </c>
      <c r="C60" s="10" t="n">
        <v>1121</v>
      </c>
      <c r="D60" s="10" t="n">
        <v>665</v>
      </c>
      <c r="E60" s="0" t="n">
        <f aca="false">IFERROR(VLOOKUP(A60,'Ablesung ista &amp; Wasser'!E:E,1,0),"Nicht vorhanden")</f>
        <v>602560018</v>
      </c>
      <c r="F60" s="0" t="str">
        <f aca="false">IF(C60="Kaltwasser",E60-D60,"")</f>
        <v/>
      </c>
      <c r="G60" s="0" t="str">
        <f aca="false">IF(C60="Warmwasser",E60-D60,"")</f>
        <v/>
      </c>
      <c r="H60" s="118" t="str">
        <f aca="false">IF(C60="ista",E60,"")</f>
        <v/>
      </c>
    </row>
    <row r="61" customFormat="false" ht="13.5" hidden="false" customHeight="false" outlineLevel="0" collapsed="false">
      <c r="A61" s="10" t="n">
        <v>602560094</v>
      </c>
      <c r="B61" s="10" t="n">
        <v>798</v>
      </c>
      <c r="C61" s="10" t="n">
        <v>643</v>
      </c>
      <c r="D61" s="10" t="n">
        <v>356</v>
      </c>
      <c r="E61" s="0" t="n">
        <f aca="false">IFERROR(VLOOKUP(A61,'Ablesung ista &amp; Wasser'!E:E,1,0),"Nicht vorhanden")</f>
        <v>602560094</v>
      </c>
      <c r="F61" s="0" t="str">
        <f aca="false">IF(C61="Kaltwasser",E61-D61,"")</f>
        <v/>
      </c>
      <c r="G61" s="0" t="str">
        <f aca="false">IF(C61="Warmwasser",E61-D61,"")</f>
        <v/>
      </c>
      <c r="H61" s="118" t="str">
        <f aca="false">IF(C61="ista",E61,"")</f>
        <v/>
      </c>
    </row>
    <row r="62" customFormat="false" ht="13.5" hidden="false" customHeight="false" outlineLevel="0" collapsed="false">
      <c r="A62" s="10" t="n">
        <v>602560063</v>
      </c>
      <c r="B62" s="10" t="n">
        <v>733</v>
      </c>
      <c r="C62" s="10" t="n">
        <v>1254</v>
      </c>
      <c r="D62" s="10" t="n">
        <v>1128</v>
      </c>
      <c r="E62" s="0" t="n">
        <f aca="false">IFERROR(VLOOKUP(A62,'Ablesung ista &amp; Wasser'!E:E,1,0),"Nicht vorhanden")</f>
        <v>602560063</v>
      </c>
      <c r="F62" s="0" t="str">
        <f aca="false">IF(C62="Kaltwasser",E62-D62,"")</f>
        <v/>
      </c>
      <c r="G62" s="0" t="str">
        <f aca="false">IF(C62="Warmwasser",E62-D62,"")</f>
        <v/>
      </c>
      <c r="H62" s="118" t="str">
        <f aca="false">IF(C62="ista",E62,"")</f>
        <v/>
      </c>
    </row>
    <row r="63" customFormat="false" ht="13.5" hidden="false" customHeight="false" outlineLevel="0" collapsed="false">
      <c r="A63" s="10" t="n">
        <v>602560100</v>
      </c>
      <c r="B63" s="10" t="n">
        <v>681</v>
      </c>
      <c r="C63" s="10" t="n">
        <v>439</v>
      </c>
      <c r="D63" s="10" t="n">
        <v>644</v>
      </c>
      <c r="E63" s="0" t="n">
        <f aca="false">IFERROR(VLOOKUP(A63,'Ablesung ista &amp; Wasser'!E:E,1,0),"Nicht vorhanden")</f>
        <v>602560100</v>
      </c>
      <c r="F63" s="0" t="str">
        <f aca="false">IF(C63="Kaltwasser",E63-D63,"")</f>
        <v/>
      </c>
      <c r="G63" s="0" t="str">
        <f aca="false">IF(C63="Warmwasser",E63-D63,"")</f>
        <v/>
      </c>
      <c r="H63" s="118" t="str">
        <f aca="false">IF(C63="ista",E63,"")</f>
        <v/>
      </c>
    </row>
    <row r="64" customFormat="false" ht="13.5" hidden="false" customHeight="false" outlineLevel="0" collapsed="false">
      <c r="A64" s="10" t="n">
        <v>605059250</v>
      </c>
      <c r="B64" s="10" t="n">
        <v>547</v>
      </c>
      <c r="C64" s="10" t="n">
        <v>868</v>
      </c>
      <c r="D64" s="10" t="n">
        <v>585</v>
      </c>
      <c r="E64" s="0" t="n">
        <f aca="false">IFERROR(VLOOKUP(A64,'Ablesung ista &amp; Wasser'!E:E,1,0),"Nicht vorhanden")</f>
        <v>605059250</v>
      </c>
      <c r="F64" s="0" t="str">
        <f aca="false">IF(C64="Kaltwasser",E64-D64,"")</f>
        <v/>
      </c>
      <c r="G64" s="0" t="str">
        <f aca="false">IF(C64="Warmwasser",E64-D64,"")</f>
        <v/>
      </c>
      <c r="H64" s="118" t="str">
        <f aca="false">IF(C64="ista",E64,"")</f>
        <v/>
      </c>
    </row>
    <row r="65" customFormat="false" ht="13.5" hidden="false" customHeight="false" outlineLevel="0" collapsed="false">
      <c r="A65" s="10" t="n">
        <v>605059328</v>
      </c>
      <c r="B65" s="10" t="n">
        <v>452</v>
      </c>
      <c r="C65" s="10" t="n">
        <v>351</v>
      </c>
      <c r="D65" s="10" t="n">
        <v>484</v>
      </c>
      <c r="E65" s="0" t="n">
        <f aca="false">IFERROR(VLOOKUP(A65,'Ablesung ista &amp; Wasser'!E:E,1,0),"Nicht vorhanden")</f>
        <v>605059328</v>
      </c>
      <c r="F65" s="0" t="str">
        <f aca="false">IF(C65="Kaltwasser",E65-D65,"")</f>
        <v/>
      </c>
      <c r="G65" s="0" t="str">
        <f aca="false">IF(C65="Warmwasser",E65-D65,"")</f>
        <v/>
      </c>
      <c r="H65" s="118" t="str">
        <f aca="false">IF(C65="ista",E65,"")</f>
        <v/>
      </c>
    </row>
    <row r="66" customFormat="false" ht="13.5" hidden="false" customHeight="false" outlineLevel="0" collapsed="false">
      <c r="A66" s="10" t="n">
        <v>602560087</v>
      </c>
      <c r="B66" s="10" t="n">
        <v>336</v>
      </c>
      <c r="C66" s="10" t="n">
        <v>151</v>
      </c>
      <c r="D66" s="10" t="n">
        <v>110</v>
      </c>
      <c r="E66" s="0" t="n">
        <f aca="false">IFERROR(VLOOKUP(A66,'Ablesung ista &amp; Wasser'!E:E,1,0),"Nicht vorhanden")</f>
        <v>602560087</v>
      </c>
      <c r="F66" s="0" t="str">
        <f aca="false">IF(C66="Kaltwasser",E66-D66,"")</f>
        <v/>
      </c>
      <c r="G66" s="0" t="str">
        <f aca="false">IF(C66="Warmwasser",E66-D66,"")</f>
        <v/>
      </c>
      <c r="H66" s="118" t="str">
        <f aca="false">IF(C66="ista",E66,"")</f>
        <v/>
      </c>
    </row>
    <row r="67" customFormat="false" ht="13.5" hidden="false" customHeight="false" outlineLevel="0" collapsed="false">
      <c r="A67" s="10" t="n">
        <v>602560049</v>
      </c>
      <c r="B67" s="10" t="n">
        <v>153</v>
      </c>
      <c r="C67" s="10" t="n">
        <v>75</v>
      </c>
      <c r="D67" s="10" t="n">
        <v>157</v>
      </c>
      <c r="E67" s="0" t="n">
        <f aca="false">IFERROR(VLOOKUP(A67,'Ablesung ista &amp; Wasser'!E:E,1,0),"Nicht vorhanden")</f>
        <v>602560049</v>
      </c>
      <c r="F67" s="0" t="str">
        <f aca="false">IF(C67="Kaltwasser",E67-D67,"")</f>
        <v/>
      </c>
      <c r="G67" s="0" t="str">
        <f aca="false">IF(C67="Warmwasser",E67-D67,"")</f>
        <v/>
      </c>
      <c r="H67" s="118" t="str">
        <f aca="false">IF(C67="ista",E67,"")</f>
        <v/>
      </c>
    </row>
    <row r="68" customFormat="false" ht="13.5" hidden="false" customHeight="false" outlineLevel="0" collapsed="false">
      <c r="A68" s="10" t="n">
        <v>16128910</v>
      </c>
      <c r="B68" s="10" t="n">
        <v>59.386</v>
      </c>
      <c r="C68" s="10" t="n">
        <v>87.211</v>
      </c>
      <c r="D68" s="10" t="n">
        <v>103.703</v>
      </c>
      <c r="E68" s="0" t="n">
        <f aca="false">IFERROR(VLOOKUP(A68,'Ablesung ista &amp; Wasser'!E:E,1,0),"Nicht vorhanden")</f>
        <v>16128910</v>
      </c>
      <c r="F68" s="0" t="str">
        <f aca="false">IF(C68="Kaltwasser",E68-D68,"")</f>
        <v/>
      </c>
      <c r="G68" s="0" t="str">
        <f aca="false">IF(C68="Warmwasser",E68-D68,"")</f>
        <v/>
      </c>
      <c r="H68" s="118" t="str">
        <f aca="false">IF(C68="ista",E68,"")</f>
        <v/>
      </c>
    </row>
    <row r="69" customFormat="false" ht="13.5" hidden="false" customHeight="false" outlineLevel="0" collapsed="false">
      <c r="A69" s="10" t="n">
        <v>16128976</v>
      </c>
      <c r="B69" s="10" t="n">
        <v>50.411</v>
      </c>
      <c r="C69" s="10" t="n">
        <v>101.268</v>
      </c>
      <c r="D69" s="10" t="n">
        <v>121.67</v>
      </c>
      <c r="E69" s="0" t="n">
        <f aca="false">IFERROR(VLOOKUP(A69,'Ablesung ista &amp; Wasser'!E:E,1,0),"Nicht vorhanden")</f>
        <v>16128976</v>
      </c>
      <c r="F69" s="0" t="str">
        <f aca="false">IF(C69="Kaltwasser",E69-D69,"")</f>
        <v/>
      </c>
      <c r="G69" s="0" t="str">
        <f aca="false">IF(C69="Warmwasser",E69-D69,"")</f>
        <v/>
      </c>
      <c r="H69" s="118" t="str">
        <f aca="false">IF(C69="ista",E69,"")</f>
        <v/>
      </c>
    </row>
    <row r="70" customFormat="false" ht="13.5" hidden="false" customHeight="false" outlineLevel="0" collapsed="false">
      <c r="A70" s="10" t="n">
        <v>15997869</v>
      </c>
      <c r="B70" s="10" t="n">
        <v>32.663</v>
      </c>
      <c r="C70" s="10" t="n">
        <v>45.512</v>
      </c>
      <c r="D70" s="10" t="n">
        <v>54.222</v>
      </c>
      <c r="E70" s="0" t="n">
        <f aca="false">IFERROR(VLOOKUP(A70,'Ablesung ista &amp; Wasser'!E:E,1,0),"Nicht vorhanden")</f>
        <v>15997869</v>
      </c>
      <c r="F70" s="0" t="str">
        <f aca="false">IF(C70="Kaltwasser",E70-D70,"")</f>
        <v/>
      </c>
      <c r="G70" s="0" t="str">
        <f aca="false">IF(C70="Warmwasser",E70-D70,"")</f>
        <v/>
      </c>
      <c r="H70" s="118" t="str">
        <f aca="false">IF(C70="ista",E70,"")</f>
        <v/>
      </c>
    </row>
    <row r="71" customFormat="false" ht="13.5" hidden="false" customHeight="false" outlineLevel="0" collapsed="false">
      <c r="A71" s="10" t="n">
        <v>15997730</v>
      </c>
      <c r="B71" s="10" t="n">
        <v>14.916</v>
      </c>
      <c r="C71" s="10" t="n">
        <v>42.843</v>
      </c>
      <c r="D71" s="10" t="n">
        <v>55.379</v>
      </c>
      <c r="E71" s="0" t="n">
        <f aca="false">IFERROR(VLOOKUP(A71,'Ablesung ista &amp; Wasser'!E:E,1,0),"Nicht vorhanden")</f>
        <v>15997730</v>
      </c>
      <c r="F71" s="0" t="str">
        <f aca="false">IF(C71="Kaltwasser",E71-D71,"")</f>
        <v/>
      </c>
      <c r="G71" s="0" t="str">
        <f aca="false">IF(C71="Warmwasser",E71-D71,"")</f>
        <v/>
      </c>
      <c r="H71" s="118" t="str">
        <f aca="false">IF(C71="ista",E71,"")</f>
        <v/>
      </c>
    </row>
    <row r="72" customFormat="false" ht="13.5" hidden="false" customHeight="false" outlineLevel="0" collapsed="false">
      <c r="A72" s="10" t="n">
        <v>602560117</v>
      </c>
      <c r="B72" s="10" t="n">
        <v>360</v>
      </c>
      <c r="C72" s="10" t="n">
        <v>152</v>
      </c>
      <c r="D72" s="10" t="n">
        <v>474</v>
      </c>
      <c r="E72" s="0" t="n">
        <f aca="false">IFERROR(VLOOKUP(A72,'Ablesung ista &amp; Wasser'!E:E,1,0),"Nicht vorhanden")</f>
        <v>602560117</v>
      </c>
      <c r="F72" s="0" t="str">
        <f aca="false">IF(C72="Kaltwasser",E72-D72,"")</f>
        <v/>
      </c>
      <c r="G72" s="0" t="str">
        <f aca="false">IF(C72="Warmwasser",E72-D72,"")</f>
        <v/>
      </c>
      <c r="H72" s="118" t="str">
        <f aca="false">IF(C72="ista",E72,"")</f>
        <v/>
      </c>
    </row>
    <row r="73" customFormat="false" ht="13.5" hidden="false" customHeight="false" outlineLevel="0" collapsed="false">
      <c r="A73" s="10" t="n">
        <v>602560056</v>
      </c>
      <c r="B73" s="10" t="n">
        <v>220</v>
      </c>
      <c r="C73" s="10" t="n">
        <v>206</v>
      </c>
      <c r="D73" s="10" t="n">
        <v>146</v>
      </c>
      <c r="E73" s="0" t="n">
        <f aca="false">IFERROR(VLOOKUP(A73,'Ablesung ista &amp; Wasser'!E:E,1,0),"Nicht vorhanden")</f>
        <v>602560056</v>
      </c>
      <c r="F73" s="0" t="str">
        <f aca="false">IF(C73="Kaltwasser",E73-D73,"")</f>
        <v/>
      </c>
      <c r="G73" s="0" t="str">
        <f aca="false">IF(C73="Warmwasser",E73-D73,"")</f>
        <v/>
      </c>
      <c r="H73" s="118" t="str">
        <f aca="false">IF(C73="ista",E73,"")</f>
        <v/>
      </c>
    </row>
    <row r="74" customFormat="false" ht="13.5" hidden="false" customHeight="false" outlineLevel="0" collapsed="false">
      <c r="A74" s="10" t="n">
        <v>602560070</v>
      </c>
      <c r="B74" s="10" t="n">
        <v>105</v>
      </c>
      <c r="C74" s="10" t="n">
        <v>149</v>
      </c>
      <c r="D74" s="10" t="n">
        <v>92</v>
      </c>
      <c r="E74" s="0" t="n">
        <f aca="false">IFERROR(VLOOKUP(A74,'Ablesung ista &amp; Wasser'!E:E,1,0),"Nicht vorhanden")</f>
        <v>602560070</v>
      </c>
      <c r="F74" s="0" t="str">
        <f aca="false">IF(C74="Kaltwasser",E74-D74,"")</f>
        <v/>
      </c>
      <c r="G74" s="0" t="str">
        <f aca="false">IF(C74="Warmwasser",E74-D74,"")</f>
        <v/>
      </c>
      <c r="H74" s="118" t="str">
        <f aca="false">IF(C74="ista",E74,"")</f>
        <v/>
      </c>
    </row>
    <row r="75" customFormat="false" ht="13.5" hidden="false" customHeight="false" outlineLevel="0" collapsed="false">
      <c r="A75" s="10" t="n">
        <v>605059168</v>
      </c>
      <c r="B75" s="10" t="n">
        <v>74</v>
      </c>
      <c r="C75" s="10" t="n">
        <v>30</v>
      </c>
      <c r="D75" s="10" t="n">
        <v>4</v>
      </c>
      <c r="E75" s="0" t="n">
        <f aca="false">IFERROR(VLOOKUP(A75,'Ablesung ista &amp; Wasser'!E:E,1,0),"Nicht vorhanden")</f>
        <v>605059168</v>
      </c>
      <c r="F75" s="0" t="str">
        <f aca="false">IF(C75="Kaltwasser",E75-D75,"")</f>
        <v/>
      </c>
      <c r="G75" s="0" t="str">
        <f aca="false">IF(C75="Warmwasser",E75-D75,"")</f>
        <v/>
      </c>
      <c r="H75" s="118" t="str">
        <f aca="false">IF(C75="ista",E75,"")</f>
        <v/>
      </c>
    </row>
    <row r="76" customFormat="false" ht="13.5" hidden="false" customHeight="false" outlineLevel="0" collapsed="false">
      <c r="A76" s="10" t="n">
        <v>605059120</v>
      </c>
      <c r="B76" s="10" t="n">
        <v>4</v>
      </c>
      <c r="C76" s="10" t="n">
        <v>0</v>
      </c>
      <c r="D76" s="10" t="n">
        <v>1</v>
      </c>
      <c r="E76" s="0" t="n">
        <f aca="false">IFERROR(VLOOKUP(A76,'Ablesung ista &amp; Wasser'!E:E,1,0),"Nicht vorhanden")</f>
        <v>605059120</v>
      </c>
      <c r="F76" s="0" t="str">
        <f aca="false">IF(C76="Kaltwasser",E76-D76,"")</f>
        <v/>
      </c>
      <c r="G76" s="0" t="str">
        <f aca="false">IF(C76="Warmwasser",E76-D76,"")</f>
        <v/>
      </c>
      <c r="H76" s="118" t="str">
        <f aca="false">IF(C76="ista",E76,"")</f>
        <v/>
      </c>
    </row>
    <row r="77" customFormat="false" ht="13.5" hidden="false" customHeight="false" outlineLevel="0" collapsed="false">
      <c r="A77" s="10" t="n">
        <v>16128907</v>
      </c>
      <c r="B77" s="10" t="n">
        <v>11.765</v>
      </c>
      <c r="C77" s="10" t="n">
        <v>16.644</v>
      </c>
      <c r="D77" s="10" t="n">
        <v>19.31</v>
      </c>
      <c r="E77" s="0" t="n">
        <f aca="false">IFERROR(VLOOKUP(A77,'Ablesung ista &amp; Wasser'!E:E,1,0),"Nicht vorhanden")</f>
        <v>16128907</v>
      </c>
      <c r="F77" s="0" t="str">
        <f aca="false">IF(C77="Kaltwasser",E77-D77,"")</f>
        <v/>
      </c>
      <c r="G77" s="0" t="str">
        <f aca="false">IF(C77="Warmwasser",E77-D77,"")</f>
        <v/>
      </c>
      <c r="H77" s="118" t="str">
        <f aca="false">IF(C77="ista",E77,"")</f>
        <v/>
      </c>
    </row>
    <row r="78" customFormat="false" ht="13.5" hidden="false" customHeight="false" outlineLevel="0" collapsed="false">
      <c r="A78" s="10" t="n">
        <v>15991117</v>
      </c>
      <c r="B78" s="10" t="n">
        <v>23.365</v>
      </c>
      <c r="C78" s="10" t="n">
        <v>39.905</v>
      </c>
      <c r="D78" s="10" t="n">
        <v>58.528</v>
      </c>
      <c r="E78" s="0" t="n">
        <f aca="false">IFERROR(VLOOKUP(A78,'Ablesung ista &amp; Wasser'!E:E,1,0),"Nicht vorhanden")</f>
        <v>15991117</v>
      </c>
      <c r="F78" s="0" t="str">
        <f aca="false">IF(C78="Kaltwasser",E78-D78,"")</f>
        <v/>
      </c>
      <c r="G78" s="0" t="str">
        <f aca="false">IF(C78="Warmwasser",E78-D78,"")</f>
        <v/>
      </c>
      <c r="H78" s="118" t="str">
        <f aca="false">IF(C78="ista",E78,"")</f>
        <v/>
      </c>
    </row>
    <row r="79" customFormat="false" ht="13.5" hidden="false" customHeight="false" outlineLevel="0" collapsed="false">
      <c r="A79" s="10" t="n">
        <v>15997753</v>
      </c>
      <c r="B79" s="10" t="n">
        <v>9.305</v>
      </c>
      <c r="C79" s="10" t="n">
        <v>15.972</v>
      </c>
      <c r="D79" s="10" t="n">
        <v>22.868</v>
      </c>
      <c r="E79" s="0" t="n">
        <f aca="false">IFERROR(VLOOKUP(A79,'Ablesung ista &amp; Wasser'!E:E,1,0),"Nicht vorhanden")</f>
        <v>15997753</v>
      </c>
      <c r="F79" s="0" t="str">
        <f aca="false">IF(C79="Kaltwasser",E79-D79,"")</f>
        <v/>
      </c>
      <c r="G79" s="0" t="str">
        <f aca="false">IF(C79="Warmwasser",E79-D79,"")</f>
        <v/>
      </c>
      <c r="H79" s="118" t="str">
        <f aca="false">IF(C79="ista",E79,"")</f>
        <v/>
      </c>
    </row>
    <row r="80" customFormat="false" ht="13.5" hidden="false" customHeight="false" outlineLevel="0" collapsed="false">
      <c r="A80" s="10" t="n">
        <v>15997739</v>
      </c>
      <c r="B80" s="10" t="n">
        <v>8.964</v>
      </c>
      <c r="C80" s="10" t="n">
        <v>15.315</v>
      </c>
      <c r="D80" s="10" t="n">
        <v>21.383</v>
      </c>
      <c r="E80" s="0" t="n">
        <f aca="false">IFERROR(VLOOKUP(A80,'Ablesung ista &amp; Wasser'!E:E,1,0),"Nicht vorhanden")</f>
        <v>15997739</v>
      </c>
      <c r="F80" s="0" t="str">
        <f aca="false">IF(C80="Kaltwasser",E80-D80,"")</f>
        <v/>
      </c>
      <c r="G80" s="0" t="str">
        <f aca="false">IF(C80="Warmwasser",E80-D80,"")</f>
        <v/>
      </c>
      <c r="H80" s="118" t="str">
        <f aca="false">IF(C80="ista",E80,"")</f>
        <v/>
      </c>
    </row>
    <row r="81" customFormat="false" ht="13.5" hidden="false" customHeight="false" outlineLevel="0" collapsed="false">
      <c r="A81" s="10" t="n">
        <v>607268377</v>
      </c>
      <c r="B81" s="10" t="n">
        <v>1091</v>
      </c>
      <c r="C81" s="10" t="n">
        <v>0</v>
      </c>
      <c r="D81" s="10" t="n">
        <v>0</v>
      </c>
      <c r="E81" s="0" t="n">
        <f aca="false">IFERROR(VLOOKUP(A81,'Ablesung ista &amp; Wasser'!E:E,1,0),"Nicht vorhanden")</f>
        <v>607268377</v>
      </c>
      <c r="F81" s="0" t="str">
        <f aca="false">IF(C81="Kaltwasser",E81-D81,"")</f>
        <v/>
      </c>
      <c r="G81" s="0" t="str">
        <f aca="false">IF(C81="Warmwasser",E81-D81,"")</f>
        <v/>
      </c>
      <c r="H81" s="118" t="str">
        <f aca="false">IF(C81="ista",E81,"")</f>
        <v/>
      </c>
    </row>
    <row r="82" customFormat="false" ht="13.5" hidden="false" customHeight="false" outlineLevel="0" collapsed="false">
      <c r="A82" s="10" t="n">
        <v>607268735</v>
      </c>
      <c r="B82" s="10" t="n">
        <v>817</v>
      </c>
      <c r="C82" s="10" t="n">
        <v>794</v>
      </c>
      <c r="D82" s="10" t="n">
        <v>848</v>
      </c>
      <c r="E82" s="0" t="n">
        <f aca="false">IFERROR(VLOOKUP(A82,'Ablesung ista &amp; Wasser'!E:E,1,0),"Nicht vorhanden")</f>
        <v>607268735</v>
      </c>
      <c r="F82" s="0" t="str">
        <f aca="false">IF(C82="Kaltwasser",E82-D82,"")</f>
        <v/>
      </c>
      <c r="G82" s="0" t="str">
        <f aca="false">IF(C82="Warmwasser",E82-D82,"")</f>
        <v/>
      </c>
      <c r="H82" s="118" t="str">
        <f aca="false">IF(C82="ista",E82,"")</f>
        <v/>
      </c>
    </row>
    <row r="83" customFormat="false" ht="13.5" hidden="false" customHeight="false" outlineLevel="0" collapsed="false">
      <c r="A83" s="10" t="n">
        <v>607268933</v>
      </c>
      <c r="B83" s="10" t="n">
        <v>547</v>
      </c>
      <c r="C83" s="10" t="n">
        <v>810</v>
      </c>
      <c r="D83" s="10" t="n">
        <v>897</v>
      </c>
      <c r="E83" s="0" t="n">
        <f aca="false">IFERROR(VLOOKUP(A83,'Ablesung ista &amp; Wasser'!E:E,1,0),"Nicht vorhanden")</f>
        <v>607268933</v>
      </c>
      <c r="F83" s="0" t="str">
        <f aca="false">IF(C83="Kaltwasser",E83-D83,"")</f>
        <v/>
      </c>
      <c r="G83" s="0" t="str">
        <f aca="false">IF(C83="Warmwasser",E83-D83,"")</f>
        <v/>
      </c>
      <c r="H83" s="118" t="str">
        <f aca="false">IF(C83="ista",E83,"")</f>
        <v/>
      </c>
    </row>
    <row r="84" customFormat="false" ht="13.5" hidden="false" customHeight="false" outlineLevel="0" collapsed="false">
      <c r="A84" s="10" t="n">
        <v>607268520</v>
      </c>
      <c r="B84" s="10" t="n">
        <v>336</v>
      </c>
      <c r="C84" s="10" t="n">
        <v>219</v>
      </c>
      <c r="D84" s="10" t="n">
        <v>205</v>
      </c>
      <c r="E84" s="0" t="n">
        <f aca="false">IFERROR(VLOOKUP(A84,'Ablesung ista &amp; Wasser'!E:E,1,0),"Nicht vorhanden")</f>
        <v>607268520</v>
      </c>
      <c r="F84" s="0" t="str">
        <f aca="false">IF(C84="Kaltwasser",E84-D84,"")</f>
        <v/>
      </c>
      <c r="G84" s="0" t="str">
        <f aca="false">IF(C84="Warmwasser",E84-D84,"")</f>
        <v/>
      </c>
      <c r="H84" s="118" t="str">
        <f aca="false">IF(C84="ista",E84,"")</f>
        <v/>
      </c>
    </row>
    <row r="85" customFormat="false" ht="13.5" hidden="false" customHeight="false" outlineLevel="0" collapsed="false">
      <c r="A85" s="10" t="n">
        <v>607289015</v>
      </c>
      <c r="B85" s="10" t="n">
        <v>0</v>
      </c>
      <c r="C85" s="10" t="n">
        <v>0</v>
      </c>
      <c r="D85" s="10" t="n">
        <v>182</v>
      </c>
      <c r="E85" s="0" t="str">
        <f aca="false">IFERROR(VLOOKUP(A85,'Ablesung ista &amp; Wasser'!E:E,1,0),"Nicht vorhanden")</f>
        <v>Nicht vorhanden</v>
      </c>
      <c r="F85" s="0" t="str">
        <f aca="false">IF(C85="Kaltwasser",E85-D85,"")</f>
        <v/>
      </c>
      <c r="G85" s="0" t="str">
        <f aca="false">IF(C85="Warmwasser",E85-D85,"")</f>
        <v/>
      </c>
      <c r="H85" s="118" t="str">
        <f aca="false">IF(C85="ista",E85,"")</f>
        <v/>
      </c>
    </row>
    <row r="86" customFormat="false" ht="13.5" hidden="false" customHeight="false" outlineLevel="0" collapsed="false">
      <c r="A86" s="10" t="n">
        <v>16160362</v>
      </c>
      <c r="B86" s="10" t="n">
        <v>17.854</v>
      </c>
      <c r="C86" s="10" t="n">
        <v>28.593</v>
      </c>
      <c r="D86" s="10" t="n">
        <v>37.9</v>
      </c>
      <c r="E86" s="0" t="n">
        <f aca="false">IFERROR(VLOOKUP(A86,'Ablesung ista &amp; Wasser'!E:E,1,0),"Nicht vorhanden")</f>
        <v>16160362</v>
      </c>
      <c r="F86" s="0" t="str">
        <f aca="false">IF(C86="Kaltwasser",E86-D86,"")</f>
        <v/>
      </c>
      <c r="G86" s="0" t="str">
        <f aca="false">IF(C86="Warmwasser",E86-D86,"")</f>
        <v/>
      </c>
      <c r="H86" s="118" t="str">
        <f aca="false">IF(C86="ista",E86,"")</f>
        <v/>
      </c>
    </row>
    <row r="87" customFormat="false" ht="13.5" hidden="false" customHeight="false" outlineLevel="0" collapsed="false">
      <c r="A87" s="10" t="n">
        <v>16129459</v>
      </c>
      <c r="B87" s="10" t="n">
        <v>5.381</v>
      </c>
      <c r="C87" s="10" t="n">
        <v>9.119</v>
      </c>
      <c r="D87" s="10" t="n">
        <v>12.964</v>
      </c>
      <c r="E87" s="0" t="n">
        <f aca="false">IFERROR(VLOOKUP(A87,'Ablesung ista &amp; Wasser'!E:E,1,0),"Nicht vorhanden")</f>
        <v>16129459</v>
      </c>
      <c r="F87" s="0" t="str">
        <f aca="false">IF(C87="Kaltwasser",E87-D87,"")</f>
        <v/>
      </c>
      <c r="G87" s="0" t="str">
        <f aca="false">IF(C87="Warmwasser",E87-D87,"")</f>
        <v/>
      </c>
      <c r="H87" s="118" t="str">
        <f aca="false">IF(C87="ista",E87,"")</f>
        <v/>
      </c>
    </row>
    <row r="88" customFormat="false" ht="13.5" hidden="false" customHeight="false" outlineLevel="0" collapsed="false">
      <c r="A88" s="10" t="n">
        <v>15990197</v>
      </c>
      <c r="B88" s="10" t="n">
        <v>41.2</v>
      </c>
      <c r="C88" s="10" t="n">
        <v>65.466</v>
      </c>
      <c r="D88" s="10" t="n">
        <v>88.694</v>
      </c>
      <c r="E88" s="0" t="n">
        <f aca="false">IFERROR(VLOOKUP(A88,'Ablesung ista &amp; Wasser'!E:E,1,0),"Nicht vorhanden")</f>
        <v>15990197</v>
      </c>
      <c r="F88" s="0" t="str">
        <f aca="false">IF(C88="Kaltwasser",E88-D88,"")</f>
        <v/>
      </c>
      <c r="G88" s="0" t="str">
        <f aca="false">IF(C88="Warmwasser",E88-D88,"")</f>
        <v/>
      </c>
      <c r="H88" s="118" t="str">
        <f aca="false">IF(C88="ista",E88,"")</f>
        <v/>
      </c>
    </row>
    <row r="89" customFormat="false" ht="13.5" hidden="false" customHeight="false" outlineLevel="0" collapsed="false">
      <c r="A89" s="10" t="n">
        <v>15990626</v>
      </c>
      <c r="B89" s="10" t="n">
        <v>26.041</v>
      </c>
      <c r="C89" s="10" t="n">
        <v>44.796</v>
      </c>
      <c r="D89" s="10" t="n">
        <v>60.229</v>
      </c>
      <c r="E89" s="0" t="n">
        <f aca="false">IFERROR(VLOOKUP(A89,'Ablesung ista &amp; Wasser'!E:E,1,0),"Nicht vorhanden")</f>
        <v>15990626</v>
      </c>
      <c r="F89" s="0" t="str">
        <f aca="false">IF(C89="Kaltwasser",E89-D89,"")</f>
        <v/>
      </c>
      <c r="G89" s="0" t="str">
        <f aca="false">IF(C89="Warmwasser",E89-D89,"")</f>
        <v/>
      </c>
      <c r="H89" s="118" t="str">
        <f aca="false">IF(C89="ista",E89,"")</f>
        <v/>
      </c>
    </row>
    <row r="90" customFormat="false" ht="13.5" hidden="false" customHeight="false" outlineLevel="0" collapsed="false">
      <c r="A90" s="10" t="n">
        <v>607268414</v>
      </c>
      <c r="B90" s="10" t="n">
        <v>2699</v>
      </c>
      <c r="C90" s="10" t="n">
        <v>2476</v>
      </c>
      <c r="D90" s="10" t="n">
        <v>2521</v>
      </c>
      <c r="E90" s="0" t="n">
        <f aca="false">IFERROR(VLOOKUP(A90,'Ablesung ista &amp; Wasser'!E:E,1,0),"Nicht vorhanden")</f>
        <v>607268414</v>
      </c>
      <c r="F90" s="0" t="str">
        <f aca="false">IF(C90="Kaltwasser",E90-D90,"")</f>
        <v/>
      </c>
      <c r="G90" s="0" t="str">
        <f aca="false">IF(C90="Warmwasser",E90-D90,"")</f>
        <v/>
      </c>
      <c r="H90" s="118" t="str">
        <f aca="false">IF(C90="ista",E90,"")</f>
        <v/>
      </c>
    </row>
    <row r="91" customFormat="false" ht="13.5" hidden="false" customHeight="false" outlineLevel="0" collapsed="false">
      <c r="A91" s="10" t="n">
        <v>607268643</v>
      </c>
      <c r="B91" s="10" t="n">
        <v>1971</v>
      </c>
      <c r="C91" s="10" t="n">
        <v>2143</v>
      </c>
      <c r="D91" s="10" t="n">
        <v>2597</v>
      </c>
      <c r="E91" s="0" t="n">
        <f aca="false">IFERROR(VLOOKUP(A91,'Ablesung ista &amp; Wasser'!E:E,1,0),"Nicht vorhanden")</f>
        <v>607268643</v>
      </c>
      <c r="F91" s="0" t="str">
        <f aca="false">IF(C91="Kaltwasser",E91-D91,"")</f>
        <v/>
      </c>
      <c r="G91" s="0" t="str">
        <f aca="false">IF(C91="Warmwasser",E91-D91,"")</f>
        <v/>
      </c>
      <c r="H91" s="118" t="str">
        <f aca="false">IF(C91="ista",E91,"")</f>
        <v/>
      </c>
    </row>
    <row r="92" customFormat="false" ht="13.5" hidden="false" customHeight="false" outlineLevel="0" collapsed="false">
      <c r="A92" s="10" t="n">
        <v>607268476</v>
      </c>
      <c r="B92" s="10" t="n">
        <v>1801</v>
      </c>
      <c r="C92" s="10" t="n">
        <v>1660</v>
      </c>
      <c r="D92" s="10" t="n">
        <v>1918</v>
      </c>
      <c r="E92" s="0" t="n">
        <f aca="false">IFERROR(VLOOKUP(A92,'Ablesung ista &amp; Wasser'!E:E,1,0),"Nicht vorhanden")</f>
        <v>607268476</v>
      </c>
      <c r="F92" s="0" t="str">
        <f aca="false">IF(C92="Kaltwasser",E92-D92,"")</f>
        <v/>
      </c>
      <c r="G92" s="0" t="str">
        <f aca="false">IF(C92="Warmwasser",E92-D92,"")</f>
        <v/>
      </c>
      <c r="H92" s="118" t="str">
        <f aca="false">IF(C92="ista",E92,"")</f>
        <v/>
      </c>
    </row>
    <row r="93" customFormat="false" ht="13.5" hidden="false" customHeight="false" outlineLevel="0" collapsed="false">
      <c r="A93" s="10" t="n">
        <v>607268513</v>
      </c>
      <c r="B93" s="10" t="n">
        <v>1519</v>
      </c>
      <c r="C93" s="10" t="n">
        <v>1678</v>
      </c>
      <c r="D93" s="10" t="n">
        <v>1627</v>
      </c>
      <c r="E93" s="0" t="n">
        <f aca="false">IFERROR(VLOOKUP(A93,'Ablesung ista &amp; Wasser'!E:E,1,0),"Nicht vorhanden")</f>
        <v>607268513</v>
      </c>
      <c r="F93" s="0" t="str">
        <f aca="false">IF(C93="Kaltwasser",E93-D93,"")</f>
        <v/>
      </c>
      <c r="G93" s="0" t="str">
        <f aca="false">IF(C93="Warmwasser",E93-D93,"")</f>
        <v/>
      </c>
      <c r="H93" s="118" t="str">
        <f aca="false">IF(C93="ista",E93,"")</f>
        <v/>
      </c>
    </row>
    <row r="94" customFormat="false" ht="13.5" hidden="false" customHeight="false" outlineLevel="0" collapsed="false">
      <c r="A94" s="10" t="n">
        <v>607268490</v>
      </c>
      <c r="B94" s="10" t="n">
        <v>956</v>
      </c>
      <c r="C94" s="10" t="n">
        <v>882</v>
      </c>
      <c r="D94" s="10" t="n">
        <v>1026</v>
      </c>
      <c r="E94" s="0" t="n">
        <f aca="false">IFERROR(VLOOKUP(A94,'Ablesung ista &amp; Wasser'!E:E,1,0),"Nicht vorhanden")</f>
        <v>607268490</v>
      </c>
      <c r="F94" s="0" t="str">
        <f aca="false">IF(C94="Kaltwasser",E94-D94,"")</f>
        <v/>
      </c>
      <c r="G94" s="0" t="str">
        <f aca="false">IF(C94="Warmwasser",E94-D94,"")</f>
        <v/>
      </c>
      <c r="H94" s="118" t="str">
        <f aca="false">IF(C94="ista",E94,"")</f>
        <v/>
      </c>
    </row>
    <row r="95" customFormat="false" ht="13.5" hidden="false" customHeight="false" outlineLevel="0" collapsed="false">
      <c r="A95" s="10" t="n">
        <v>16075869</v>
      </c>
      <c r="B95" s="10" t="n">
        <v>7.33</v>
      </c>
      <c r="C95" s="10" t="n">
        <v>20.199</v>
      </c>
      <c r="D95" s="10" t="n">
        <v>32.434</v>
      </c>
      <c r="E95" s="0" t="n">
        <f aca="false">IFERROR(VLOOKUP(A95,'Ablesung ista &amp; Wasser'!E:E,1,0),"Nicht vorhanden")</f>
        <v>16075869</v>
      </c>
      <c r="F95" s="0" t="str">
        <f aca="false">IF(C95="Kaltwasser",E95-D95,"")</f>
        <v/>
      </c>
      <c r="G95" s="0" t="str">
        <f aca="false">IF(C95="Warmwasser",E95-D95,"")</f>
        <v/>
      </c>
      <c r="H95" s="118" t="str">
        <f aca="false">IF(C95="ista",E95,"")</f>
        <v/>
      </c>
    </row>
    <row r="96" customFormat="false" ht="13.5" hidden="false" customHeight="false" outlineLevel="0" collapsed="false">
      <c r="A96" s="10" t="n">
        <v>16201333</v>
      </c>
      <c r="B96" s="10" t="n">
        <v>19.725</v>
      </c>
      <c r="C96" s="10" t="n">
        <v>32.934</v>
      </c>
      <c r="D96" s="10" t="n">
        <v>45.284</v>
      </c>
      <c r="E96" s="0" t="n">
        <f aca="false">IFERROR(VLOOKUP(A96,'Ablesung ista &amp; Wasser'!E:E,1,0),"Nicht vorhanden")</f>
        <v>16201333</v>
      </c>
      <c r="F96" s="0" t="str">
        <f aca="false">IF(C96="Kaltwasser",E96-D96,"")</f>
        <v/>
      </c>
      <c r="G96" s="0" t="str">
        <f aca="false">IF(C96="Warmwasser",E96-D96,"")</f>
        <v/>
      </c>
      <c r="H96" s="118" t="str">
        <f aca="false">IF(C96="ista",E96,"")</f>
        <v/>
      </c>
    </row>
    <row r="97" customFormat="false" ht="13.5" hidden="false" customHeight="false" outlineLevel="0" collapsed="false">
      <c r="A97" s="10" t="n">
        <v>16201335</v>
      </c>
      <c r="B97" s="10" t="n">
        <v>9.214</v>
      </c>
      <c r="C97" s="10" t="n">
        <v>15.138</v>
      </c>
      <c r="D97" s="10" t="n">
        <v>19.502</v>
      </c>
      <c r="E97" s="0" t="n">
        <f aca="false">IFERROR(VLOOKUP(A97,'Ablesung ista &amp; Wasser'!E:E,1,0),"Nicht vorhanden")</f>
        <v>16201335</v>
      </c>
      <c r="F97" s="0" t="str">
        <f aca="false">IF(C97="Kaltwasser",E97-D97,"")</f>
        <v/>
      </c>
      <c r="G97" s="0" t="str">
        <f aca="false">IF(C97="Warmwasser",E97-D97,"")</f>
        <v/>
      </c>
      <c r="H97" s="118" t="str">
        <f aca="false">IF(C97="ista",E97,"")</f>
        <v/>
      </c>
    </row>
    <row r="98" customFormat="false" ht="13.5" hidden="false" customHeight="false" outlineLevel="0" collapsed="false">
      <c r="A98" s="10" t="n">
        <v>16160970</v>
      </c>
      <c r="B98" s="10" t="n">
        <v>6.903</v>
      </c>
      <c r="C98" s="10" t="n">
        <v>18.293</v>
      </c>
      <c r="D98" s="10" t="n">
        <v>30.382</v>
      </c>
      <c r="E98" s="0" t="n">
        <f aca="false">IFERROR(VLOOKUP(A98,'Ablesung ista &amp; Wasser'!E:E,1,0),"Nicht vorhanden")</f>
        <v>16160970</v>
      </c>
      <c r="F98" s="0" t="str">
        <f aca="false">IF(C98="Kaltwasser",E98-D98,"")</f>
        <v/>
      </c>
      <c r="G98" s="0" t="str">
        <f aca="false">IF(C98="Warmwasser",E98-D98,"")</f>
        <v/>
      </c>
      <c r="H98" s="118" t="str">
        <f aca="false">IF(C98="ista",E98,"")</f>
        <v/>
      </c>
    </row>
    <row r="99" customFormat="false" ht="13.5" hidden="false" customHeight="false" outlineLevel="0" collapsed="false">
      <c r="A99" s="10" t="n">
        <v>16160688</v>
      </c>
      <c r="B99" s="10" t="n">
        <v>6.357</v>
      </c>
      <c r="C99" s="10" t="n">
        <v>10.55</v>
      </c>
      <c r="D99" s="10" t="n">
        <v>14.828</v>
      </c>
      <c r="E99" s="0" t="n">
        <f aca="false">IFERROR(VLOOKUP(A99,'Ablesung ista &amp; Wasser'!E:E,1,0),"Nicht vorhanden")</f>
        <v>16160688</v>
      </c>
      <c r="F99" s="0" t="str">
        <f aca="false">IF(C99="Kaltwasser",E99-D99,"")</f>
        <v/>
      </c>
      <c r="G99" s="0" t="str">
        <f aca="false">IF(C99="Warmwasser",E99-D99,"")</f>
        <v/>
      </c>
      <c r="H99" s="118" t="str">
        <f aca="false">IF(C99="ista",E99,"")</f>
        <v/>
      </c>
    </row>
    <row r="100" customFormat="false" ht="13.5" hidden="false" customHeight="false" outlineLevel="0" collapsed="false">
      <c r="A100" s="10" t="n">
        <v>16160134</v>
      </c>
      <c r="B100" s="10" t="n">
        <v>5.363</v>
      </c>
      <c r="C100" s="10" t="n">
        <v>8.734</v>
      </c>
      <c r="D100" s="10" t="n">
        <v>11.24</v>
      </c>
      <c r="E100" s="0" t="n">
        <f aca="false">IFERROR(VLOOKUP(A100,'Ablesung ista &amp; Wasser'!E:E,1,0),"Nicht vorhanden")</f>
        <v>16160134</v>
      </c>
      <c r="F100" s="0" t="str">
        <f aca="false">IF(C100="Kaltwasser",E100-D100,"")</f>
        <v/>
      </c>
      <c r="G100" s="0" t="str">
        <f aca="false">IF(C100="Warmwasser",E100-D100,"")</f>
        <v/>
      </c>
      <c r="H100" s="118" t="str">
        <f aca="false">IF(C100="ista",E100,"")</f>
        <v/>
      </c>
    </row>
    <row r="101" customFormat="false" ht="13.5" hidden="false" customHeight="false" outlineLevel="0" collapsed="false">
      <c r="A101" s="10" t="n">
        <v>607269657</v>
      </c>
      <c r="B101" s="10" t="n">
        <v>1248</v>
      </c>
      <c r="C101" s="10" t="n">
        <v>1247</v>
      </c>
      <c r="D101" s="10" t="n">
        <v>1012</v>
      </c>
      <c r="E101" s="0" t="n">
        <f aca="false">IFERROR(VLOOKUP(A101,'Ablesung ista &amp; Wasser'!E:E,1,0),"Nicht vorhanden")</f>
        <v>607269657</v>
      </c>
      <c r="F101" s="0" t="str">
        <f aca="false">IF(C101="Kaltwasser",E101-D101,"")</f>
        <v/>
      </c>
      <c r="G101" s="0" t="str">
        <f aca="false">IF(C101="Warmwasser",E101-D101,"")</f>
        <v/>
      </c>
      <c r="H101" s="118" t="str">
        <f aca="false">IF(C101="ista",E101,"")</f>
        <v/>
      </c>
    </row>
    <row r="102" customFormat="false" ht="13.5" hidden="false" customHeight="false" outlineLevel="0" collapsed="false">
      <c r="A102" s="10" t="n">
        <v>607269862</v>
      </c>
      <c r="B102" s="10" t="n">
        <v>1005</v>
      </c>
      <c r="C102" s="10" t="n">
        <v>1032</v>
      </c>
      <c r="D102" s="10" t="n">
        <v>870</v>
      </c>
      <c r="E102" s="0" t="n">
        <f aca="false">IFERROR(VLOOKUP(A102,'Ablesung ista &amp; Wasser'!E:E,1,0),"Nicht vorhanden")</f>
        <v>607269862</v>
      </c>
      <c r="F102" s="0" t="str">
        <f aca="false">IF(C102="Kaltwasser",E102-D102,"")</f>
        <v/>
      </c>
      <c r="G102" s="0" t="str">
        <f aca="false">IF(C102="Warmwasser",E102-D102,"")</f>
        <v/>
      </c>
      <c r="H102" s="118" t="str">
        <f aca="false">IF(C102="ista",E102,"")</f>
        <v/>
      </c>
    </row>
    <row r="103" customFormat="false" ht="13.5" hidden="false" customHeight="false" outlineLevel="0" collapsed="false">
      <c r="A103" s="10" t="n">
        <v>607269824</v>
      </c>
      <c r="B103" s="10" t="n">
        <v>856</v>
      </c>
      <c r="C103" s="10" t="n">
        <v>52</v>
      </c>
      <c r="D103" s="10" t="n">
        <v>62</v>
      </c>
      <c r="E103" s="0" t="n">
        <f aca="false">IFERROR(VLOOKUP(A103,'Ablesung ista &amp; Wasser'!E:E,1,0),"Nicht vorhanden")</f>
        <v>607269824</v>
      </c>
      <c r="F103" s="0" t="str">
        <f aca="false">IF(C103="Kaltwasser",E103-D103,"")</f>
        <v/>
      </c>
      <c r="G103" s="0" t="str">
        <f aca="false">IF(C103="Warmwasser",E103-D103,"")</f>
        <v/>
      </c>
      <c r="H103" s="118" t="str">
        <f aca="false">IF(C103="ista",E103,"")</f>
        <v/>
      </c>
    </row>
    <row r="104" customFormat="false" ht="13.5" hidden="false" customHeight="false" outlineLevel="0" collapsed="false">
      <c r="A104" s="10" t="n">
        <v>607269848</v>
      </c>
      <c r="B104" s="10" t="n">
        <v>292</v>
      </c>
      <c r="C104" s="10" t="n">
        <v>5</v>
      </c>
      <c r="D104" s="10" t="n">
        <v>17</v>
      </c>
      <c r="E104" s="0" t="n">
        <f aca="false">IFERROR(VLOOKUP(A104,'Ablesung ista &amp; Wasser'!E:E,1,0),"Nicht vorhanden")</f>
        <v>607269848</v>
      </c>
      <c r="F104" s="0" t="str">
        <f aca="false">IF(C104="Kaltwasser",E104-D104,"")</f>
        <v/>
      </c>
      <c r="G104" s="0" t="str">
        <f aca="false">IF(C104="Warmwasser",E104-D104,"")</f>
        <v/>
      </c>
      <c r="H104" s="118" t="str">
        <f aca="false">IF(C104="ista",E104,"")</f>
        <v/>
      </c>
    </row>
    <row r="105" customFormat="false" ht="13.5" hidden="false" customHeight="false" outlineLevel="0" collapsed="false">
      <c r="A105" s="10" t="n">
        <v>607269831</v>
      </c>
      <c r="B105" s="10" t="n">
        <v>137</v>
      </c>
      <c r="C105" s="10" t="n">
        <v>238</v>
      </c>
      <c r="D105" s="10" t="n">
        <v>418</v>
      </c>
      <c r="E105" s="0" t="n">
        <f aca="false">IFERROR(VLOOKUP(A105,'Ablesung ista &amp; Wasser'!E:E,1,0),"Nicht vorhanden")</f>
        <v>607269831</v>
      </c>
      <c r="F105" s="0" t="str">
        <f aca="false">IF(C105="Kaltwasser",E105-D105,"")</f>
        <v/>
      </c>
      <c r="G105" s="0" t="str">
        <f aca="false">IF(C105="Warmwasser",E105-D105,"")</f>
        <v/>
      </c>
      <c r="H105" s="118" t="str">
        <f aca="false">IF(C105="ista",E105,"")</f>
        <v/>
      </c>
    </row>
    <row r="106" customFormat="false" ht="13.5" hidden="false" customHeight="false" outlineLevel="0" collapsed="false">
      <c r="A106" s="10" t="n">
        <v>607269039</v>
      </c>
      <c r="B106" s="10" t="n">
        <v>78</v>
      </c>
      <c r="C106" s="10" t="n">
        <v>59</v>
      </c>
      <c r="D106" s="10" t="n">
        <v>134</v>
      </c>
      <c r="E106" s="0" t="n">
        <f aca="false">IFERROR(VLOOKUP(A106,'Ablesung ista &amp; Wasser'!E:E,1,0),"Nicht vorhanden")</f>
        <v>607269039</v>
      </c>
      <c r="F106" s="0" t="str">
        <f aca="false">IF(C106="Kaltwasser",E106-D106,"")</f>
        <v/>
      </c>
      <c r="G106" s="0" t="str">
        <f aca="false">IF(C106="Warmwasser",E106-D106,"")</f>
        <v/>
      </c>
      <c r="H106" s="118" t="str">
        <f aca="false">IF(C106="ista",E106,"")</f>
        <v/>
      </c>
    </row>
    <row r="107" customFormat="false" ht="13.5" hidden="false" customHeight="false" outlineLevel="0" collapsed="false">
      <c r="A107" s="10" t="n">
        <v>16075366</v>
      </c>
      <c r="B107" s="10" t="n">
        <v>29.063</v>
      </c>
      <c r="C107" s="10" t="n">
        <v>88.706</v>
      </c>
      <c r="D107" s="10" t="n">
        <v>6.352</v>
      </c>
      <c r="E107" s="0" t="n">
        <f aca="false">IFERROR(VLOOKUP(A107,'Ablesung ista &amp; Wasser'!E:E,1,0),"Nicht vorhanden")</f>
        <v>16075366</v>
      </c>
      <c r="F107" s="0" t="str">
        <f aca="false">IF(C107="Kaltwasser",E107-D107,"")</f>
        <v/>
      </c>
      <c r="G107" s="0" t="str">
        <f aca="false">IF(C107="Warmwasser",E107-D107,"")</f>
        <v/>
      </c>
      <c r="H107" s="118" t="str">
        <f aca="false">IF(C107="ista",E107,"")</f>
        <v/>
      </c>
    </row>
    <row r="108" customFormat="false" ht="13.5" hidden="false" customHeight="false" outlineLevel="0" collapsed="false">
      <c r="A108" s="10" t="n">
        <v>16128904</v>
      </c>
      <c r="B108" s="10" t="n">
        <v>28.327</v>
      </c>
      <c r="C108" s="10" t="n">
        <v>48.995</v>
      </c>
      <c r="D108" s="10" t="n">
        <v>70.524</v>
      </c>
      <c r="E108" s="0" t="n">
        <f aca="false">IFERROR(VLOOKUP(A108,'Ablesung ista &amp; Wasser'!E:E,1,0),"Nicht vorhanden")</f>
        <v>16128904</v>
      </c>
      <c r="F108" s="0" t="str">
        <f aca="false">IF(C108="Kaltwasser",E108-D108,"")</f>
        <v/>
      </c>
      <c r="G108" s="0" t="str">
        <f aca="false">IF(C108="Warmwasser",E108-D108,"")</f>
        <v/>
      </c>
      <c r="H108" s="118" t="str">
        <f aca="false">IF(C108="ista",E108,"")</f>
        <v/>
      </c>
    </row>
    <row r="109" customFormat="false" ht="13.5" hidden="false" customHeight="false" outlineLevel="0" collapsed="false">
      <c r="A109" s="10" t="n">
        <v>15997872</v>
      </c>
      <c r="B109" s="10" t="n">
        <v>26.898</v>
      </c>
      <c r="C109" s="10" t="n">
        <v>38.934</v>
      </c>
      <c r="D109" s="10" t="n">
        <v>50.436</v>
      </c>
      <c r="E109" s="0" t="n">
        <f aca="false">IFERROR(VLOOKUP(A109,'Ablesung ista &amp; Wasser'!E:E,1,0),"Nicht vorhanden")</f>
        <v>15997872</v>
      </c>
      <c r="F109" s="0" t="str">
        <f aca="false">IF(C109="Kaltwasser",E109-D109,"")</f>
        <v/>
      </c>
      <c r="G109" s="0" t="str">
        <f aca="false">IF(C109="Warmwasser",E109-D109,"")</f>
        <v/>
      </c>
      <c r="H109" s="118" t="str">
        <f aca="false">IF(C109="ista",E109,"")</f>
        <v/>
      </c>
    </row>
    <row r="110" customFormat="false" ht="13.5" hidden="false" customHeight="false" outlineLevel="0" collapsed="false">
      <c r="A110" s="10" t="n">
        <v>15997868</v>
      </c>
      <c r="B110" s="10" t="n">
        <v>6.26</v>
      </c>
      <c r="C110" s="10" t="n">
        <v>10.999</v>
      </c>
      <c r="D110" s="10" t="n">
        <v>14.993</v>
      </c>
      <c r="E110" s="0" t="n">
        <f aca="false">IFERROR(VLOOKUP(A110,'Ablesung ista &amp; Wasser'!E:E,1,0),"Nicht vorhanden")</f>
        <v>15997868</v>
      </c>
      <c r="F110" s="0" t="str">
        <f aca="false">IF(C110="Kaltwasser",E110-D110,"")</f>
        <v/>
      </c>
      <c r="G110" s="0" t="str">
        <f aca="false">IF(C110="Warmwasser",E110-D110,"")</f>
        <v/>
      </c>
      <c r="H110" s="118" t="str">
        <f aca="false">IF(C110="ista",E110,"")</f>
        <v/>
      </c>
    </row>
    <row r="111" customFormat="false" ht="13.5" hidden="false" customHeight="false" outlineLevel="0" collapsed="false">
      <c r="A111" s="10" t="n">
        <v>611095280</v>
      </c>
      <c r="B111" s="10" t="n">
        <v>940</v>
      </c>
      <c r="C111" s="10" t="n">
        <v>935</v>
      </c>
      <c r="D111" s="10" t="n">
        <v>548</v>
      </c>
      <c r="E111" s="0" t="n">
        <f aca="false">IFERROR(VLOOKUP(A111,'Ablesung ista &amp; Wasser'!E:E,1,0),"Nicht vorhanden")</f>
        <v>611095280</v>
      </c>
      <c r="F111" s="0" t="str">
        <f aca="false">IF(C111="Kaltwasser",E111-D111,"")</f>
        <v/>
      </c>
      <c r="G111" s="0" t="str">
        <f aca="false">IF(C111="Warmwasser",E111-D111,"")</f>
        <v/>
      </c>
      <c r="H111" s="118" t="str">
        <f aca="false">IF(C111="ista",E111,"")</f>
        <v/>
      </c>
    </row>
    <row r="112" customFormat="false" ht="13.5" hidden="false" customHeight="false" outlineLevel="0" collapsed="false">
      <c r="A112" s="10" t="n">
        <v>611095556</v>
      </c>
      <c r="B112" s="10" t="n">
        <v>927</v>
      </c>
      <c r="C112" s="10" t="n">
        <v>1045</v>
      </c>
      <c r="D112" s="10" t="n">
        <v>624</v>
      </c>
      <c r="E112" s="0" t="n">
        <f aca="false">IFERROR(VLOOKUP(A112,'Ablesung ista &amp; Wasser'!E:E,1,0),"Nicht vorhanden")</f>
        <v>611095556</v>
      </c>
      <c r="F112" s="0" t="str">
        <f aca="false">IF(C112="Kaltwasser",E112-D112,"")</f>
        <v/>
      </c>
      <c r="G112" s="0" t="str">
        <f aca="false">IF(C112="Warmwasser",E112-D112,"")</f>
        <v/>
      </c>
      <c r="H112" s="118" t="str">
        <f aca="false">IF(C112="ista",E112,"")</f>
        <v/>
      </c>
    </row>
    <row r="113" customFormat="false" ht="13.5" hidden="false" customHeight="false" outlineLevel="0" collapsed="false">
      <c r="A113" s="10" t="n">
        <v>611095266</v>
      </c>
      <c r="B113" s="10" t="n">
        <v>845</v>
      </c>
      <c r="C113" s="10" t="n">
        <v>812</v>
      </c>
      <c r="D113" s="10" t="n">
        <v>664</v>
      </c>
      <c r="E113" s="0" t="n">
        <f aca="false">IFERROR(VLOOKUP(A113,'Ablesung ista &amp; Wasser'!E:E,1,0),"Nicht vorhanden")</f>
        <v>611095266</v>
      </c>
      <c r="F113" s="0" t="str">
        <f aca="false">IF(C113="Kaltwasser",E113-D113,"")</f>
        <v/>
      </c>
      <c r="G113" s="0" t="str">
        <f aca="false">IF(C113="Warmwasser",E113-D113,"")</f>
        <v/>
      </c>
      <c r="H113" s="118" t="str">
        <f aca="false">IF(C113="ista",E113,"")</f>
        <v/>
      </c>
    </row>
    <row r="114" customFormat="false" ht="13.5" hidden="false" customHeight="false" outlineLevel="0" collapsed="false">
      <c r="A114" s="10" t="n">
        <v>611095594</v>
      </c>
      <c r="B114" s="10" t="n">
        <v>647</v>
      </c>
      <c r="C114" s="10" t="n">
        <v>849</v>
      </c>
      <c r="D114" s="10" t="n">
        <v>781</v>
      </c>
      <c r="E114" s="0" t="n">
        <f aca="false">IFERROR(VLOOKUP(A114,'Ablesung ista &amp; Wasser'!E:E,1,0),"Nicht vorhanden")</f>
        <v>611095594</v>
      </c>
      <c r="F114" s="0" t="str">
        <f aca="false">IF(C114="Kaltwasser",E114-D114,"")</f>
        <v/>
      </c>
      <c r="G114" s="0" t="str">
        <f aca="false">IF(C114="Warmwasser",E114-D114,"")</f>
        <v/>
      </c>
      <c r="H114" s="118" t="str">
        <f aca="false">IF(C114="ista",E114,"")</f>
        <v/>
      </c>
    </row>
    <row r="115" customFormat="false" ht="13.5" hidden="false" customHeight="false" outlineLevel="0" collapsed="false">
      <c r="A115" s="10" t="n">
        <v>611095440</v>
      </c>
      <c r="B115" s="10" t="n">
        <v>299</v>
      </c>
      <c r="C115" s="10" t="n">
        <v>650</v>
      </c>
      <c r="D115" s="10" t="n">
        <v>231</v>
      </c>
      <c r="E115" s="0" t="n">
        <f aca="false">IFERROR(VLOOKUP(A115,'Ablesung ista &amp; Wasser'!E:E,1,0),"Nicht vorhanden")</f>
        <v>611095440</v>
      </c>
      <c r="F115" s="0" t="str">
        <f aca="false">IF(C115="Kaltwasser",E115-D115,"")</f>
        <v/>
      </c>
      <c r="G115" s="0" t="str">
        <f aca="false">IF(C115="Warmwasser",E115-D115,"")</f>
        <v/>
      </c>
      <c r="H115" s="118" t="str">
        <f aca="false">IF(C115="ista",E115,"")</f>
        <v/>
      </c>
    </row>
    <row r="116" customFormat="false" ht="13.5" hidden="false" customHeight="false" outlineLevel="0" collapsed="false">
      <c r="A116" s="10" t="n">
        <v>16128920</v>
      </c>
      <c r="B116" s="10" t="n">
        <v>68.55</v>
      </c>
      <c r="C116" s="10" t="n">
        <v>105.962</v>
      </c>
      <c r="D116" s="10" t="n">
        <v>142.739</v>
      </c>
      <c r="E116" s="0" t="n">
        <f aca="false">IFERROR(VLOOKUP(A116,'Ablesung ista &amp; Wasser'!E:E,1,0),"Nicht vorhanden")</f>
        <v>16128920</v>
      </c>
      <c r="F116" s="0" t="str">
        <f aca="false">IF(C116="Kaltwasser",E116-D116,"")</f>
        <v/>
      </c>
      <c r="G116" s="0" t="str">
        <f aca="false">IF(C116="Warmwasser",E116-D116,"")</f>
        <v/>
      </c>
      <c r="H116" s="118" t="str">
        <f aca="false">IF(C116="ista",E116,"")</f>
        <v/>
      </c>
    </row>
    <row r="117" customFormat="false" ht="13.5" hidden="false" customHeight="false" outlineLevel="0" collapsed="false">
      <c r="A117" s="10" t="n">
        <v>16075361</v>
      </c>
      <c r="B117" s="10" t="n">
        <v>31.613</v>
      </c>
      <c r="C117" s="10" t="n">
        <v>47.694</v>
      </c>
      <c r="D117" s="10" t="n">
        <v>63.922</v>
      </c>
      <c r="E117" s="0" t="n">
        <f aca="false">IFERROR(VLOOKUP(A117,'Ablesung ista &amp; Wasser'!E:E,1,0),"Nicht vorhanden")</f>
        <v>16075361</v>
      </c>
      <c r="F117" s="0" t="str">
        <f aca="false">IF(C117="Kaltwasser",E117-D117,"")</f>
        <v/>
      </c>
      <c r="G117" s="0" t="str">
        <f aca="false">IF(C117="Warmwasser",E117-D117,"")</f>
        <v/>
      </c>
      <c r="H117" s="118" t="str">
        <f aca="false">IF(C117="ista",E117,"")</f>
        <v/>
      </c>
    </row>
    <row r="118" customFormat="false" ht="13.5" hidden="false" customHeight="false" outlineLevel="0" collapsed="false">
      <c r="A118" s="10" t="n">
        <v>15997901</v>
      </c>
      <c r="B118" s="10" t="n">
        <v>33.276</v>
      </c>
      <c r="C118" s="10" t="n">
        <v>52.693</v>
      </c>
      <c r="D118" s="10" t="n">
        <v>72.251</v>
      </c>
      <c r="E118" s="0" t="n">
        <f aca="false">IFERROR(VLOOKUP(A118,'Ablesung ista &amp; Wasser'!E:E,1,0),"Nicht vorhanden")</f>
        <v>15997901</v>
      </c>
      <c r="F118" s="0" t="str">
        <f aca="false">IF(C118="Kaltwasser",E118-D118,"")</f>
        <v/>
      </c>
      <c r="G118" s="0" t="str">
        <f aca="false">IF(C118="Warmwasser",E118-D118,"")</f>
        <v/>
      </c>
      <c r="H118" s="118" t="str">
        <f aca="false">IF(C118="ista",E118,"")</f>
        <v/>
      </c>
    </row>
    <row r="119" customFormat="false" ht="13.5" hidden="false" customHeight="false" outlineLevel="0" collapsed="false">
      <c r="A119" s="10" t="n">
        <v>15998293</v>
      </c>
      <c r="B119" s="10" t="n">
        <v>13.182</v>
      </c>
      <c r="C119" s="10" t="n">
        <v>18.966</v>
      </c>
      <c r="D119" s="10" t="n">
        <v>23.794</v>
      </c>
      <c r="E119" s="0" t="n">
        <f aca="false">IFERROR(VLOOKUP(A119,'Ablesung ista &amp; Wasser'!E:E,1,0),"Nicht vorhanden")</f>
        <v>15998293</v>
      </c>
      <c r="F119" s="0" t="str">
        <f aca="false">IF(C119="Kaltwasser",E119-D119,"")</f>
        <v/>
      </c>
      <c r="G119" s="0" t="str">
        <f aca="false">IF(C119="Warmwasser",E119-D119,"")</f>
        <v/>
      </c>
      <c r="H119" s="118" t="str">
        <f aca="false">IF(C119="ista",E119,"")</f>
        <v/>
      </c>
    </row>
    <row r="120" customFormat="false" ht="13.5" hidden="false" customHeight="false" outlineLevel="0" collapsed="false">
      <c r="A120" s="10" t="n">
        <v>620009421</v>
      </c>
      <c r="B120" s="10" t="n">
        <v>1880</v>
      </c>
      <c r="C120" s="10" t="n">
        <v>1469</v>
      </c>
      <c r="D120" s="10" t="n">
        <v>1286</v>
      </c>
      <c r="E120" s="0" t="n">
        <f aca="false">IFERROR(VLOOKUP(A120,'Ablesung ista &amp; Wasser'!E:E,1,0),"Nicht vorhanden")</f>
        <v>620009421</v>
      </c>
      <c r="F120" s="0" t="str">
        <f aca="false">IF(C120="Kaltwasser",E120-D120,"")</f>
        <v/>
      </c>
      <c r="G120" s="0" t="str">
        <f aca="false">IF(C120="Warmwasser",E120-D120,"")</f>
        <v/>
      </c>
      <c r="H120" s="118" t="str">
        <f aca="false">IF(C120="ista",E120,"")</f>
        <v/>
      </c>
    </row>
    <row r="121" customFormat="false" ht="13.5" hidden="false" customHeight="false" outlineLevel="0" collapsed="false">
      <c r="A121" s="10" t="n">
        <v>620009162</v>
      </c>
      <c r="B121" s="10" t="n">
        <v>1835</v>
      </c>
      <c r="C121" s="10" t="n">
        <v>1537</v>
      </c>
      <c r="D121" s="10" t="n">
        <v>1374</v>
      </c>
      <c r="E121" s="0" t="n">
        <f aca="false">IFERROR(VLOOKUP(A121,'Ablesung ista &amp; Wasser'!E:E,1,0),"Nicht vorhanden")</f>
        <v>620009162</v>
      </c>
      <c r="F121" s="0" t="str">
        <f aca="false">IF(C121="Kaltwasser",E121-D121,"")</f>
        <v/>
      </c>
      <c r="G121" s="0" t="str">
        <f aca="false">IF(C121="Warmwasser",E121-D121,"")</f>
        <v/>
      </c>
      <c r="H121" s="118" t="str">
        <f aca="false">IF(C121="ista",E121,"")</f>
        <v/>
      </c>
    </row>
    <row r="122" customFormat="false" ht="13.5" hidden="false" customHeight="false" outlineLevel="0" collapsed="false">
      <c r="A122" s="10" t="n">
        <v>620007168</v>
      </c>
      <c r="B122" s="10" t="n">
        <v>1474</v>
      </c>
      <c r="C122" s="10" t="n">
        <v>1333</v>
      </c>
      <c r="D122" s="10" t="n">
        <v>1132</v>
      </c>
      <c r="E122" s="0" t="n">
        <f aca="false">IFERROR(VLOOKUP(A122,'Ablesung ista &amp; Wasser'!E:E,1,0),"Nicht vorhanden")</f>
        <v>620007168</v>
      </c>
      <c r="F122" s="0" t="str">
        <f aca="false">IF(C122="Kaltwasser",E122-D122,"")</f>
        <v/>
      </c>
      <c r="G122" s="0" t="str">
        <f aca="false">IF(C122="Warmwasser",E122-D122,"")</f>
        <v/>
      </c>
      <c r="H122" s="118" t="str">
        <f aca="false">IF(C122="ista",E122,"")</f>
        <v/>
      </c>
    </row>
    <row r="123" customFormat="false" ht="13.5" hidden="false" customHeight="false" outlineLevel="0" collapsed="false">
      <c r="A123" s="10" t="n">
        <v>620007755</v>
      </c>
      <c r="B123" s="10" t="n">
        <v>917</v>
      </c>
      <c r="C123" s="10" t="n">
        <v>856</v>
      </c>
      <c r="D123" s="10" t="n">
        <v>832</v>
      </c>
      <c r="E123" s="0" t="n">
        <f aca="false">IFERROR(VLOOKUP(A123,'Ablesung ista &amp; Wasser'!E:E,1,0),"Nicht vorhanden")</f>
        <v>620007755</v>
      </c>
      <c r="F123" s="0" t="str">
        <f aca="false">IF(C123="Kaltwasser",E123-D123,"")</f>
        <v/>
      </c>
      <c r="G123" s="0" t="str">
        <f aca="false">IF(C123="Warmwasser",E123-D123,"")</f>
        <v/>
      </c>
      <c r="H123" s="118" t="str">
        <f aca="false">IF(C123="ista",E123,"")</f>
        <v/>
      </c>
    </row>
    <row r="124" customFormat="false" ht="13.5" hidden="false" customHeight="false" outlineLevel="0" collapsed="false">
      <c r="A124" s="10" t="n">
        <v>620009513</v>
      </c>
      <c r="B124" s="10" t="n">
        <v>413</v>
      </c>
      <c r="C124" s="10" t="n">
        <v>1265</v>
      </c>
      <c r="D124" s="10" t="n">
        <v>1065</v>
      </c>
      <c r="E124" s="0" t="n">
        <f aca="false">IFERROR(VLOOKUP(A124,'Ablesung ista &amp; Wasser'!E:E,1,0),"Nicht vorhanden")</f>
        <v>620009513</v>
      </c>
      <c r="F124" s="0" t="str">
        <f aca="false">IF(C124="Kaltwasser",E124-D124,"")</f>
        <v/>
      </c>
      <c r="G124" s="0" t="str">
        <f aca="false">IF(C124="Warmwasser",E124-D124,"")</f>
        <v/>
      </c>
      <c r="H124" s="118" t="str">
        <f aca="false">IF(C124="ista",E124,"")</f>
        <v/>
      </c>
    </row>
    <row r="125" customFormat="false" ht="13.5" hidden="false" customHeight="false" outlineLevel="0" collapsed="false">
      <c r="A125" s="10" t="n">
        <v>620009490</v>
      </c>
      <c r="B125" s="10" t="n">
        <v>391</v>
      </c>
      <c r="C125" s="10" t="n">
        <v>361</v>
      </c>
      <c r="D125" s="10" t="n">
        <v>200</v>
      </c>
      <c r="E125" s="0" t="n">
        <f aca="false">IFERROR(VLOOKUP(A125,'Ablesung ista &amp; Wasser'!E:E,1,0),"Nicht vorhanden")</f>
        <v>620009490</v>
      </c>
      <c r="F125" s="0" t="str">
        <f aca="false">IF(C125="Kaltwasser",E125-D125,"")</f>
        <v/>
      </c>
      <c r="G125" s="0" t="str">
        <f aca="false">IF(C125="Warmwasser",E125-D125,"")</f>
        <v/>
      </c>
      <c r="H125" s="118" t="str">
        <f aca="false">IF(C125="ista",E125,"")</f>
        <v/>
      </c>
    </row>
    <row r="126" customFormat="false" ht="13.5" hidden="false" customHeight="false" outlineLevel="0" collapsed="false">
      <c r="A126" s="10" t="n">
        <v>620007762</v>
      </c>
      <c r="B126" s="10" t="n">
        <v>314</v>
      </c>
      <c r="C126" s="10" t="n">
        <v>349</v>
      </c>
      <c r="D126" s="10" t="n">
        <v>258</v>
      </c>
      <c r="E126" s="0" t="n">
        <f aca="false">IFERROR(VLOOKUP(A126,'Ablesung ista &amp; Wasser'!E:E,1,0),"Nicht vorhanden")</f>
        <v>620007762</v>
      </c>
      <c r="F126" s="0" t="str">
        <f aca="false">IF(C126="Kaltwasser",E126-D126,"")</f>
        <v/>
      </c>
      <c r="G126" s="0" t="str">
        <f aca="false">IF(C126="Warmwasser",E126-D126,"")</f>
        <v/>
      </c>
      <c r="H126" s="118" t="str">
        <f aca="false">IF(C126="ista",E126,"")</f>
        <v/>
      </c>
    </row>
    <row r="127" customFormat="false" ht="13.5" hidden="false" customHeight="false" outlineLevel="0" collapsed="false">
      <c r="A127" s="10" t="n">
        <v>620007182</v>
      </c>
      <c r="B127" s="10" t="n">
        <v>314</v>
      </c>
      <c r="C127" s="10" t="n">
        <v>1116</v>
      </c>
      <c r="D127" s="10" t="n">
        <v>1259</v>
      </c>
      <c r="E127" s="0" t="n">
        <f aca="false">IFERROR(VLOOKUP(A127,'Ablesung ista &amp; Wasser'!E:E,1,0),"Nicht vorhanden")</f>
        <v>620007182</v>
      </c>
      <c r="F127" s="0" t="str">
        <f aca="false">IF(C127="Kaltwasser",E127-D127,"")</f>
        <v/>
      </c>
      <c r="G127" s="0" t="str">
        <f aca="false">IF(C127="Warmwasser",E127-D127,"")</f>
        <v/>
      </c>
      <c r="H127" s="118" t="str">
        <f aca="false">IF(C127="ista",E127,"")</f>
        <v/>
      </c>
    </row>
    <row r="128" customFormat="false" ht="13.5" hidden="false" customHeight="false" outlineLevel="0" collapsed="false">
      <c r="A128" s="10" t="n">
        <v>620007380</v>
      </c>
      <c r="B128" s="10" t="n">
        <v>101</v>
      </c>
      <c r="C128" s="10" t="n">
        <v>342</v>
      </c>
      <c r="D128" s="10" t="n">
        <v>395</v>
      </c>
      <c r="E128" s="0" t="n">
        <f aca="false">IFERROR(VLOOKUP(A128,'Ablesung ista &amp; Wasser'!E:E,1,0),"Nicht vorhanden")</f>
        <v>620007380</v>
      </c>
      <c r="F128" s="0" t="str">
        <f aca="false">IF(C128="Kaltwasser",E128-D128,"")</f>
        <v/>
      </c>
      <c r="G128" s="0" t="str">
        <f aca="false">IF(C128="Warmwasser",E128-D128,"")</f>
        <v/>
      </c>
      <c r="H128" s="118" t="str">
        <f aca="false">IF(C128="ista",E128,"")</f>
        <v/>
      </c>
    </row>
    <row r="129" customFormat="false" ht="13.5" hidden="false" customHeight="false" outlineLevel="0" collapsed="false">
      <c r="A129" s="10" t="n">
        <v>620007632</v>
      </c>
      <c r="B129" s="10" t="n">
        <v>0</v>
      </c>
      <c r="C129" s="10" t="n">
        <v>1</v>
      </c>
      <c r="D129" s="10" t="n">
        <v>11</v>
      </c>
      <c r="E129" s="0" t="n">
        <f aca="false">IFERROR(VLOOKUP(A129,'Ablesung ista &amp; Wasser'!E:E,1,0),"Nicht vorhanden")</f>
        <v>620007632</v>
      </c>
      <c r="F129" s="0" t="str">
        <f aca="false">IF(C129="Kaltwasser",E129-D129,"")</f>
        <v/>
      </c>
      <c r="G129" s="0" t="str">
        <f aca="false">IF(C129="Warmwasser",E129-D129,"")</f>
        <v/>
      </c>
      <c r="H129" s="118" t="str">
        <f aca="false">IF(C129="ista",E129,"")</f>
        <v/>
      </c>
    </row>
    <row r="130" customFormat="false" ht="13.5" hidden="false" customHeight="false" outlineLevel="0" collapsed="false">
      <c r="A130" s="10" t="n">
        <v>16201322</v>
      </c>
      <c r="B130" s="10" t="n">
        <v>31.197</v>
      </c>
      <c r="C130" s="10" t="n">
        <v>57.121</v>
      </c>
      <c r="D130" s="10" t="n">
        <v>80.801</v>
      </c>
      <c r="E130" s="0" t="n">
        <f aca="false">IFERROR(VLOOKUP(A130,'Ablesung ista &amp; Wasser'!E:E,1,0),"Nicht vorhanden")</f>
        <v>16201322</v>
      </c>
      <c r="F130" s="0" t="str">
        <f aca="false">IF(C130="Kaltwasser",E130-D130,"")</f>
        <v/>
      </c>
      <c r="G130" s="0" t="str">
        <f aca="false">IF(C130="Warmwasser",E130-D130,"")</f>
        <v/>
      </c>
      <c r="H130" s="118" t="str">
        <f aca="false">IF(C130="ista",E130,"")</f>
        <v/>
      </c>
    </row>
    <row r="131" customFormat="false" ht="13.5" hidden="false" customHeight="false" outlineLevel="0" collapsed="false">
      <c r="A131" s="10" t="n">
        <v>16201325</v>
      </c>
      <c r="B131" s="10" t="n">
        <v>55.66</v>
      </c>
      <c r="C131" s="10" t="n">
        <v>92.449</v>
      </c>
      <c r="D131" s="10" t="n">
        <v>123.824</v>
      </c>
      <c r="E131" s="0" t="n">
        <f aca="false">IFERROR(VLOOKUP(A131,'Ablesung ista &amp; Wasser'!E:E,1,0),"Nicht vorhanden")</f>
        <v>16201325</v>
      </c>
      <c r="F131" s="0" t="str">
        <f aca="false">IF(C131="Kaltwasser",E131-D131,"")</f>
        <v/>
      </c>
      <c r="G131" s="0" t="str">
        <f aca="false">IF(C131="Warmwasser",E131-D131,"")</f>
        <v/>
      </c>
      <c r="H131" s="118" t="str">
        <f aca="false">IF(C131="ista",E131,"")</f>
        <v/>
      </c>
    </row>
    <row r="132" customFormat="false" ht="13.5" hidden="false" customHeight="false" outlineLevel="0" collapsed="false">
      <c r="A132" s="10" t="n">
        <v>16160291</v>
      </c>
      <c r="B132" s="10" t="n">
        <v>13.628</v>
      </c>
      <c r="C132" s="10" t="n">
        <v>21.746</v>
      </c>
      <c r="D132" s="10" t="n">
        <v>28.972</v>
      </c>
      <c r="E132" s="0" t="n">
        <f aca="false">IFERROR(VLOOKUP(A132,'Ablesung ista &amp; Wasser'!E:E,1,0),"Nicht vorhanden")</f>
        <v>16160291</v>
      </c>
      <c r="F132" s="0" t="str">
        <f aca="false">IF(C132="Kaltwasser",E132-D132,"")</f>
        <v/>
      </c>
      <c r="G132" s="0" t="str">
        <f aca="false">IF(C132="Warmwasser",E132-D132,"")</f>
        <v/>
      </c>
      <c r="H132" s="118" t="str">
        <f aca="false">IF(C132="ista",E132,"")</f>
        <v/>
      </c>
    </row>
    <row r="133" customFormat="false" ht="13.5" hidden="false" customHeight="false" outlineLevel="0" collapsed="false">
      <c r="A133" s="10" t="n">
        <v>16160985</v>
      </c>
      <c r="B133" s="10" t="n">
        <v>33.618</v>
      </c>
      <c r="C133" s="10" t="n">
        <v>56.092</v>
      </c>
      <c r="D133" s="10" t="n">
        <v>76.969</v>
      </c>
      <c r="E133" s="0" t="n">
        <f aca="false">IFERROR(VLOOKUP(A133,'Ablesung ista &amp; Wasser'!E:E,1,0),"Nicht vorhanden")</f>
        <v>16160985</v>
      </c>
      <c r="F133" s="0" t="str">
        <f aca="false">IF(C133="Kaltwasser",E133-D133,"")</f>
        <v/>
      </c>
      <c r="G133" s="0" t="str">
        <f aca="false">IF(C133="Warmwasser",E133-D133,"")</f>
        <v/>
      </c>
      <c r="H133" s="118" t="str">
        <f aca="false">IF(C133="ista",E133,"")</f>
        <v/>
      </c>
    </row>
    <row r="134" customFormat="false" ht="13.5" hidden="false" customHeight="false" outlineLevel="0" collapsed="false">
      <c r="A134" s="10" t="n">
        <v>602560223</v>
      </c>
      <c r="B134" s="10" t="n">
        <v>1472</v>
      </c>
      <c r="C134" s="10" t="n">
        <v>1334</v>
      </c>
      <c r="D134" s="10" t="n">
        <v>1499</v>
      </c>
      <c r="E134" s="0" t="n">
        <f aca="false">IFERROR(VLOOKUP(A134,'Ablesung ista &amp; Wasser'!E:E,1,0),"Nicht vorhanden")</f>
        <v>602560223</v>
      </c>
      <c r="F134" s="0" t="str">
        <f aca="false">IF(C134="Kaltwasser",E134-D134,"")</f>
        <v/>
      </c>
      <c r="G134" s="0" t="str">
        <f aca="false">IF(C134="Warmwasser",E134-D134,"")</f>
        <v/>
      </c>
      <c r="H134" s="118" t="str">
        <f aca="false">IF(C134="ista",E134,"")</f>
        <v/>
      </c>
    </row>
    <row r="135" customFormat="false" ht="13.5" hidden="false" customHeight="false" outlineLevel="0" collapsed="false">
      <c r="A135" s="10" t="n">
        <v>602560216</v>
      </c>
      <c r="B135" s="10" t="n">
        <v>1005</v>
      </c>
      <c r="C135" s="10" t="n">
        <v>929</v>
      </c>
      <c r="D135" s="10" t="n">
        <v>1019</v>
      </c>
      <c r="E135" s="0" t="n">
        <f aca="false">IFERROR(VLOOKUP(A135,'Ablesung ista &amp; Wasser'!E:E,1,0),"Nicht vorhanden")</f>
        <v>602560216</v>
      </c>
      <c r="F135" s="0" t="str">
        <f aca="false">IF(C135="Kaltwasser",E135-D135,"")</f>
        <v/>
      </c>
      <c r="G135" s="0" t="str">
        <f aca="false">IF(C135="Warmwasser",E135-D135,"")</f>
        <v/>
      </c>
      <c r="H135" s="118" t="str">
        <f aca="false">IF(C135="ista",E135,"")</f>
        <v/>
      </c>
    </row>
    <row r="136" customFormat="false" ht="13.5" hidden="false" customHeight="false" outlineLevel="0" collapsed="false">
      <c r="A136" s="10" t="n">
        <v>602560179</v>
      </c>
      <c r="B136" s="10" t="n">
        <v>592</v>
      </c>
      <c r="C136" s="10" t="n">
        <v>717</v>
      </c>
      <c r="D136" s="10" t="n">
        <v>820</v>
      </c>
      <c r="E136" s="0" t="n">
        <f aca="false">IFERROR(VLOOKUP(A136,'Ablesung ista &amp; Wasser'!E:E,1,0),"Nicht vorhanden")</f>
        <v>602560179</v>
      </c>
      <c r="F136" s="0" t="str">
        <f aca="false">IF(C136="Kaltwasser",E136-D136,"")</f>
        <v/>
      </c>
      <c r="G136" s="0" t="str">
        <f aca="false">IF(C136="Warmwasser",E136-D136,"")</f>
        <v/>
      </c>
      <c r="H136" s="118" t="str">
        <f aca="false">IF(C136="ista",E136,"")</f>
        <v/>
      </c>
    </row>
    <row r="137" customFormat="false" ht="13.5" hidden="false" customHeight="false" outlineLevel="0" collapsed="false">
      <c r="A137" s="10" t="n">
        <v>602560285</v>
      </c>
      <c r="B137" s="10" t="n">
        <v>577</v>
      </c>
      <c r="C137" s="10" t="n">
        <v>691</v>
      </c>
      <c r="D137" s="10" t="n">
        <v>706</v>
      </c>
      <c r="E137" s="0" t="n">
        <f aca="false">IFERROR(VLOOKUP(A137,'Ablesung ista &amp; Wasser'!E:E,1,0),"Nicht vorhanden")</f>
        <v>602560285</v>
      </c>
      <c r="F137" s="0" t="str">
        <f aca="false">IF(C137="Kaltwasser",E137-D137,"")</f>
        <v/>
      </c>
      <c r="G137" s="0" t="str">
        <f aca="false">IF(C137="Warmwasser",E137-D137,"")</f>
        <v/>
      </c>
      <c r="H137" s="118" t="str">
        <f aca="false">IF(C137="ista",E137,"")</f>
        <v/>
      </c>
    </row>
    <row r="138" customFormat="false" ht="13.5" hidden="false" customHeight="false" outlineLevel="0" collapsed="false">
      <c r="A138" s="10" t="n">
        <v>602560308</v>
      </c>
      <c r="B138" s="10" t="n">
        <v>383</v>
      </c>
      <c r="C138" s="10" t="n">
        <v>475</v>
      </c>
      <c r="D138" s="10" t="n">
        <v>426</v>
      </c>
      <c r="E138" s="0" t="n">
        <f aca="false">IFERROR(VLOOKUP(A138,'Ablesung ista &amp; Wasser'!E:E,1,0),"Nicht vorhanden")</f>
        <v>602560308</v>
      </c>
      <c r="F138" s="0" t="str">
        <f aca="false">IF(C138="Kaltwasser",E138-D138,"")</f>
        <v/>
      </c>
      <c r="G138" s="0" t="str">
        <f aca="false">IF(C138="Warmwasser",E138-D138,"")</f>
        <v/>
      </c>
      <c r="H138" s="118" t="str">
        <f aca="false">IF(C138="ista",E138,"")</f>
        <v/>
      </c>
    </row>
    <row r="139" customFormat="false" ht="13.5" hidden="false" customHeight="false" outlineLevel="0" collapsed="false">
      <c r="A139" s="10" t="n">
        <v>16676368</v>
      </c>
      <c r="B139" s="10" t="n">
        <v>28.403</v>
      </c>
      <c r="C139" s="10" t="n">
        <v>46.008</v>
      </c>
      <c r="D139" s="10" t="n">
        <v>63.041</v>
      </c>
      <c r="E139" s="0" t="n">
        <f aca="false">IFERROR(VLOOKUP(A139,'Ablesung ista &amp; Wasser'!E:E,1,0),"Nicht vorhanden")</f>
        <v>16676368</v>
      </c>
      <c r="F139" s="0" t="str">
        <f aca="false">IF(C139="Kaltwasser",E139-D139,"")</f>
        <v/>
      </c>
      <c r="G139" s="0" t="str">
        <f aca="false">IF(C139="Warmwasser",E139-D139,"")</f>
        <v/>
      </c>
      <c r="H139" s="118" t="str">
        <f aca="false">IF(C139="ista",E139,"")</f>
        <v/>
      </c>
    </row>
    <row r="140" customFormat="false" ht="13.5" hidden="false" customHeight="false" outlineLevel="0" collapsed="false">
      <c r="A140" s="10" t="n">
        <v>15997903</v>
      </c>
      <c r="B140" s="10" t="n">
        <v>8.94</v>
      </c>
      <c r="C140" s="10" t="n">
        <v>14.369</v>
      </c>
      <c r="D140" s="10" t="n">
        <v>19.219</v>
      </c>
      <c r="E140" s="0" t="n">
        <f aca="false">IFERROR(VLOOKUP(A140,'Ablesung ista &amp; Wasser'!E:E,1,0),"Nicht vorhanden")</f>
        <v>15997903</v>
      </c>
      <c r="F140" s="0" t="str">
        <f aca="false">IF(C140="Kaltwasser",E140-D140,"")</f>
        <v/>
      </c>
      <c r="G140" s="0" t="str">
        <f aca="false">IF(C140="Warmwasser",E140-D140,"")</f>
        <v/>
      </c>
      <c r="H140" s="118" t="str">
        <f aca="false">IF(C140="ista",E140,"")</f>
        <v/>
      </c>
    </row>
    <row r="141" customFormat="false" ht="13.5" hidden="false" customHeight="false" outlineLevel="0" collapsed="false">
      <c r="A141" s="10" t="n">
        <v>602560407</v>
      </c>
      <c r="B141" s="10" t="n">
        <v>1427</v>
      </c>
      <c r="C141" s="10" t="n">
        <v>1454</v>
      </c>
      <c r="D141" s="10" t="n">
        <v>1441</v>
      </c>
      <c r="E141" s="0" t="n">
        <f aca="false">IFERROR(VLOOKUP(A141,'Ablesung ista &amp; Wasser'!E:E,1,0),"Nicht vorhanden")</f>
        <v>602560407</v>
      </c>
      <c r="F141" s="0" t="str">
        <f aca="false">IF(C141="Kaltwasser",E141-D141,"")</f>
        <v/>
      </c>
      <c r="G141" s="0" t="str">
        <f aca="false">IF(C141="Warmwasser",E141-D141,"")</f>
        <v/>
      </c>
      <c r="H141" s="118" t="str">
        <f aca="false">IF(C141="ista",E141,"")</f>
        <v/>
      </c>
    </row>
    <row r="142" customFormat="false" ht="13.5" hidden="false" customHeight="false" outlineLevel="0" collapsed="false">
      <c r="A142" s="10" t="n">
        <v>602560421</v>
      </c>
      <c r="B142" s="10" t="n">
        <v>1148</v>
      </c>
      <c r="C142" s="10" t="n">
        <v>594</v>
      </c>
      <c r="D142" s="10" t="n">
        <v>924</v>
      </c>
      <c r="E142" s="0" t="n">
        <f aca="false">IFERROR(VLOOKUP(A142,'Ablesung ista &amp; Wasser'!E:E,1,0),"Nicht vorhanden")</f>
        <v>602560421</v>
      </c>
      <c r="F142" s="0" t="str">
        <f aca="false">IF(C142="Kaltwasser",E142-D142,"")</f>
        <v/>
      </c>
      <c r="G142" s="0" t="str">
        <f aca="false">IF(C142="Warmwasser",E142-D142,"")</f>
        <v/>
      </c>
      <c r="H142" s="118" t="str">
        <f aca="false">IF(C142="ista",E142,"")</f>
        <v/>
      </c>
    </row>
    <row r="143" customFormat="false" ht="13.5" hidden="false" customHeight="false" outlineLevel="0" collapsed="false">
      <c r="A143" s="10" t="n">
        <v>602560384</v>
      </c>
      <c r="B143" s="10" t="n">
        <v>1118</v>
      </c>
      <c r="C143" s="10" t="n">
        <v>1407</v>
      </c>
      <c r="D143" s="10" t="n">
        <v>1705</v>
      </c>
      <c r="E143" s="0" t="n">
        <f aca="false">IFERROR(VLOOKUP(A143,'Ablesung ista &amp; Wasser'!E:E,1,0),"Nicht vorhanden")</f>
        <v>602560384</v>
      </c>
      <c r="F143" s="0" t="str">
        <f aca="false">IF(C143="Kaltwasser",E143-D143,"")</f>
        <v/>
      </c>
      <c r="G143" s="0" t="str">
        <f aca="false">IF(C143="Warmwasser",E143-D143,"")</f>
        <v/>
      </c>
      <c r="H143" s="118" t="str">
        <f aca="false">IF(C143="ista",E143,"")</f>
        <v/>
      </c>
    </row>
    <row r="144" customFormat="false" ht="13.5" hidden="false" customHeight="false" outlineLevel="0" collapsed="false">
      <c r="A144" s="10" t="n">
        <v>602560353</v>
      </c>
      <c r="B144" s="10" t="n">
        <v>394</v>
      </c>
      <c r="C144" s="10" t="n">
        <v>971</v>
      </c>
      <c r="D144" s="10" t="n">
        <v>673</v>
      </c>
      <c r="E144" s="0" t="n">
        <f aca="false">IFERROR(VLOOKUP(A144,'Ablesung ista &amp; Wasser'!E:E,1,0),"Nicht vorhanden")</f>
        <v>602560353</v>
      </c>
      <c r="F144" s="0" t="str">
        <f aca="false">IF(C144="Kaltwasser",E144-D144,"")</f>
        <v/>
      </c>
      <c r="G144" s="0" t="str">
        <f aca="false">IF(C144="Warmwasser",E144-D144,"")</f>
        <v/>
      </c>
      <c r="H144" s="118" t="str">
        <f aca="false">IF(C144="ista",E144,"")</f>
        <v/>
      </c>
    </row>
    <row r="145" customFormat="false" ht="13.5" hidden="false" customHeight="false" outlineLevel="0" collapsed="false">
      <c r="A145" s="10" t="n">
        <v>602560391</v>
      </c>
      <c r="B145" s="10" t="n">
        <v>283</v>
      </c>
      <c r="C145" s="10" t="n">
        <v>592</v>
      </c>
      <c r="D145" s="10" t="n">
        <v>928</v>
      </c>
      <c r="E145" s="0" t="n">
        <f aca="false">IFERROR(VLOOKUP(A145,'Ablesung ista &amp; Wasser'!E:E,1,0),"Nicht vorhanden")</f>
        <v>602560391</v>
      </c>
      <c r="F145" s="0" t="str">
        <f aca="false">IF(C145="Kaltwasser",E145-D145,"")</f>
        <v/>
      </c>
      <c r="G145" s="0" t="str">
        <f aca="false">IF(C145="Warmwasser",E145-D145,"")</f>
        <v/>
      </c>
      <c r="H145" s="118" t="str">
        <f aca="false">IF(C145="ista",E145,"")</f>
        <v/>
      </c>
    </row>
    <row r="146" customFormat="false" ht="13.5" hidden="false" customHeight="false" outlineLevel="0" collapsed="false">
      <c r="A146" s="10" t="n">
        <v>16200489</v>
      </c>
      <c r="B146" s="10" t="n">
        <v>33.578</v>
      </c>
      <c r="C146" s="10" t="n">
        <v>71.401</v>
      </c>
      <c r="D146" s="10" t="n">
        <v>109.688</v>
      </c>
      <c r="E146" s="0" t="n">
        <f aca="false">IFERROR(VLOOKUP(A146,'Ablesung ista &amp; Wasser'!E:E,1,0),"Nicht vorhanden")</f>
        <v>16200489</v>
      </c>
      <c r="F146" s="0" t="str">
        <f aca="false">IF(C146="Kaltwasser",E146-D146,"")</f>
        <v/>
      </c>
      <c r="G146" s="0" t="str">
        <f aca="false">IF(C146="Warmwasser",E146-D146,"")</f>
        <v/>
      </c>
      <c r="H146" s="118" t="str">
        <f aca="false">IF(C146="ista",E146,"")</f>
        <v/>
      </c>
    </row>
    <row r="147" customFormat="false" ht="13.5" hidden="false" customHeight="false" outlineLevel="0" collapsed="false">
      <c r="A147" s="10" t="n">
        <v>16160962</v>
      </c>
      <c r="B147" s="10" t="n">
        <v>10.088</v>
      </c>
      <c r="C147" s="10" t="n">
        <v>20.669</v>
      </c>
      <c r="D147" s="10" t="n">
        <v>34.943</v>
      </c>
      <c r="E147" s="0" t="n">
        <f aca="false">IFERROR(VLOOKUP(A147,'Ablesung ista &amp; Wasser'!E:E,1,0),"Nicht vorhanden")</f>
        <v>16160962</v>
      </c>
      <c r="F147" s="0" t="str">
        <f aca="false">IF(C147="Kaltwasser",E147-D147,"")</f>
        <v/>
      </c>
      <c r="G147" s="0" t="str">
        <f aca="false">IF(C147="Warmwasser",E147-D147,"")</f>
        <v/>
      </c>
      <c r="H147" s="118" t="str">
        <f aca="false">IF(C147="ista",E147,"")</f>
        <v/>
      </c>
    </row>
    <row r="148" customFormat="false" ht="13.5" hidden="false" customHeight="false" outlineLevel="0" collapsed="false">
      <c r="A148" s="10" t="n">
        <v>602560360</v>
      </c>
      <c r="B148" s="10" t="n">
        <v>1935</v>
      </c>
      <c r="C148" s="10" t="n">
        <v>1865</v>
      </c>
      <c r="D148" s="10" t="n">
        <v>1170</v>
      </c>
      <c r="E148" s="0" t="n">
        <f aca="false">IFERROR(VLOOKUP(A148,'Ablesung ista &amp; Wasser'!E:E,1,0),"Nicht vorhanden")</f>
        <v>602560360</v>
      </c>
      <c r="F148" s="0" t="str">
        <f aca="false">IF(C148="Kaltwasser",E148-D148,"")</f>
        <v/>
      </c>
      <c r="G148" s="0" t="str">
        <f aca="false">IF(C148="Warmwasser",E148-D148,"")</f>
        <v/>
      </c>
      <c r="H148" s="118" t="str">
        <f aca="false">IF(C148="ista",E148,"")</f>
        <v/>
      </c>
    </row>
    <row r="149" customFormat="false" ht="13.5" hidden="false" customHeight="false" outlineLevel="0" collapsed="false">
      <c r="A149" s="10" t="n">
        <v>602560322</v>
      </c>
      <c r="B149" s="10" t="n">
        <v>1195</v>
      </c>
      <c r="C149" s="10" t="n">
        <v>793</v>
      </c>
      <c r="D149" s="10" t="n">
        <v>1192</v>
      </c>
      <c r="E149" s="0" t="n">
        <f aca="false">IFERROR(VLOOKUP(A149,'Ablesung ista &amp; Wasser'!E:E,1,0),"Nicht vorhanden")</f>
        <v>602560322</v>
      </c>
      <c r="F149" s="0" t="str">
        <f aca="false">IF(C149="Kaltwasser",E149-D149,"")</f>
        <v/>
      </c>
      <c r="G149" s="0" t="str">
        <f aca="false">IF(C149="Warmwasser",E149-D149,"")</f>
        <v/>
      </c>
      <c r="H149" s="118" t="str">
        <f aca="false">IF(C149="ista",E149,"")</f>
        <v/>
      </c>
    </row>
    <row r="150" customFormat="false" ht="13.5" hidden="false" customHeight="false" outlineLevel="0" collapsed="false">
      <c r="A150" s="10" t="n">
        <v>602560339</v>
      </c>
      <c r="B150" s="10" t="n">
        <v>884</v>
      </c>
      <c r="C150" s="10" t="n">
        <v>1401</v>
      </c>
      <c r="D150" s="10" t="n">
        <v>1012</v>
      </c>
      <c r="E150" s="0" t="n">
        <f aca="false">IFERROR(VLOOKUP(A150,'Ablesung ista &amp; Wasser'!E:E,1,0),"Nicht vorhanden")</f>
        <v>602560339</v>
      </c>
      <c r="F150" s="0" t="str">
        <f aca="false">IF(C150="Kaltwasser",E150-D150,"")</f>
        <v/>
      </c>
      <c r="G150" s="0" t="str">
        <f aca="false">IF(C150="Warmwasser",E150-D150,"")</f>
        <v/>
      </c>
      <c r="H150" s="118" t="str">
        <f aca="false">IF(C150="ista",E150,"")</f>
        <v/>
      </c>
    </row>
    <row r="151" customFormat="false" ht="13.5" hidden="false" customHeight="false" outlineLevel="0" collapsed="false">
      <c r="A151" s="10" t="n">
        <v>602560315</v>
      </c>
      <c r="B151" s="10" t="n">
        <v>602</v>
      </c>
      <c r="C151" s="10" t="n">
        <v>730</v>
      </c>
      <c r="D151" s="10" t="n">
        <v>369</v>
      </c>
      <c r="E151" s="0" t="n">
        <f aca="false">IFERROR(VLOOKUP(A151,'Ablesung ista &amp; Wasser'!E:E,1,0),"Nicht vorhanden")</f>
        <v>602560315</v>
      </c>
      <c r="F151" s="0" t="str">
        <f aca="false">IF(C151="Kaltwasser",E151-D151,"")</f>
        <v/>
      </c>
      <c r="G151" s="0" t="str">
        <f aca="false">IF(C151="Warmwasser",E151-D151,"")</f>
        <v/>
      </c>
      <c r="H151" s="118" t="str">
        <f aca="false">IF(C151="ista",E151,"")</f>
        <v/>
      </c>
    </row>
    <row r="152" customFormat="false" ht="13.5" hidden="false" customHeight="false" outlineLevel="0" collapsed="false">
      <c r="A152" s="10" t="n">
        <v>602560346</v>
      </c>
      <c r="B152" s="10" t="n">
        <v>598</v>
      </c>
      <c r="C152" s="10" t="n">
        <v>792</v>
      </c>
      <c r="D152" s="10" t="n">
        <v>518</v>
      </c>
      <c r="E152" s="0" t="n">
        <f aca="false">IFERROR(VLOOKUP(A152,'Ablesung ista &amp; Wasser'!E:E,1,0),"Nicht vorhanden")</f>
        <v>602560346</v>
      </c>
      <c r="F152" s="0" t="str">
        <f aca="false">IF(C152="Kaltwasser",E152-D152,"")</f>
        <v/>
      </c>
      <c r="G152" s="0" t="str">
        <f aca="false">IF(C152="Warmwasser",E152-D152,"")</f>
        <v/>
      </c>
      <c r="H152" s="118" t="str">
        <f aca="false">IF(C152="ista",E152,"")</f>
        <v/>
      </c>
    </row>
    <row r="153" customFormat="false" ht="13.5" hidden="false" customHeight="false" outlineLevel="0" collapsed="false">
      <c r="A153" s="10" t="n">
        <v>16200256</v>
      </c>
      <c r="B153" s="10" t="n">
        <v>12.702</v>
      </c>
      <c r="C153" s="10" t="n">
        <v>18.43</v>
      </c>
      <c r="D153" s="10" t="n">
        <v>25.378</v>
      </c>
      <c r="E153" s="0" t="n">
        <f aca="false">IFERROR(VLOOKUP(A153,'Ablesung ista &amp; Wasser'!E:E,1,0),"Nicht vorhanden")</f>
        <v>16200256</v>
      </c>
      <c r="F153" s="0" t="str">
        <f aca="false">IF(C153="Kaltwasser",E153-D153,"")</f>
        <v/>
      </c>
      <c r="G153" s="0" t="str">
        <f aca="false">IF(C153="Warmwasser",E153-D153,"")</f>
        <v/>
      </c>
      <c r="H153" s="118" t="str">
        <f aca="false">IF(C153="ista",E153,"")</f>
        <v/>
      </c>
    </row>
    <row r="154" customFormat="false" ht="13.5" hidden="false" customHeight="false" outlineLevel="0" collapsed="false">
      <c r="A154" s="10" t="n">
        <v>16200257</v>
      </c>
      <c r="B154" s="10" t="n">
        <v>36.977</v>
      </c>
      <c r="C154" s="10" t="n">
        <v>52.68</v>
      </c>
      <c r="D154" s="10" t="n">
        <v>80.66</v>
      </c>
      <c r="E154" s="0" t="n">
        <f aca="false">IFERROR(VLOOKUP(A154,'Ablesung ista &amp; Wasser'!E:E,1,0),"Nicht vorhanden")</f>
        <v>16200257</v>
      </c>
      <c r="F154" s="0" t="str">
        <f aca="false">IF(C154="Kaltwasser",E154-D154,"")</f>
        <v/>
      </c>
      <c r="G154" s="0" t="str">
        <f aca="false">IF(C154="Warmwasser",E154-D154,"")</f>
        <v/>
      </c>
      <c r="H154" s="118" t="str">
        <f aca="false">IF(C154="ista",E154,"")</f>
        <v/>
      </c>
    </row>
    <row r="155" customFormat="false" ht="13.5" hidden="false" customHeight="false" outlineLevel="0" collapsed="false">
      <c r="A155" s="10" t="n">
        <v>16160921</v>
      </c>
      <c r="B155" s="10" t="n">
        <v>7.49</v>
      </c>
      <c r="C155" s="10" t="n">
        <v>10.302</v>
      </c>
      <c r="D155" s="10" t="n">
        <v>15.886</v>
      </c>
      <c r="E155" s="0" t="n">
        <f aca="false">IFERROR(VLOOKUP(A155,'Ablesung ista &amp; Wasser'!E:E,1,0),"Nicht vorhanden")</f>
        <v>16160921</v>
      </c>
      <c r="F155" s="0" t="str">
        <f aca="false">IF(C155="Kaltwasser",E155-D155,"")</f>
        <v/>
      </c>
      <c r="G155" s="0" t="str">
        <f aca="false">IF(C155="Warmwasser",E155-D155,"")</f>
        <v/>
      </c>
      <c r="H155" s="118" t="str">
        <f aca="false">IF(C155="ista",E155,"")</f>
        <v/>
      </c>
    </row>
    <row r="156" customFormat="false" ht="13.5" hidden="false" customHeight="false" outlineLevel="0" collapsed="false">
      <c r="A156" s="10" t="n">
        <v>16160580</v>
      </c>
      <c r="B156" s="10" t="n">
        <v>20.682</v>
      </c>
      <c r="C156" s="10" t="n">
        <v>33.28</v>
      </c>
      <c r="D156" s="10" t="n">
        <v>44.565</v>
      </c>
      <c r="E156" s="0" t="n">
        <f aca="false">IFERROR(VLOOKUP(A156,'Ablesung ista &amp; Wasser'!E:E,1,0),"Nicht vorhanden")</f>
        <v>16160580</v>
      </c>
      <c r="F156" s="0" t="str">
        <f aca="false">IF(C156="Kaltwasser",E156-D156,"")</f>
        <v/>
      </c>
      <c r="G156" s="0" t="str">
        <f aca="false">IF(C156="Warmwasser",E156-D156,"")</f>
        <v/>
      </c>
      <c r="H156" s="118" t="str">
        <f aca="false">IF(C156="ista",E156,"")</f>
        <v/>
      </c>
    </row>
    <row r="157" customFormat="false" ht="13.5" hidden="false" customHeight="false" outlineLevel="0" collapsed="false">
      <c r="A157" s="10" t="n">
        <v>620007496</v>
      </c>
      <c r="B157" s="10" t="n">
        <v>1355</v>
      </c>
      <c r="C157" s="10" t="n">
        <v>1253</v>
      </c>
      <c r="D157" s="10" t="n">
        <v>1445</v>
      </c>
      <c r="E157" s="0" t="n">
        <f aca="false">IFERROR(VLOOKUP(A157,'Ablesung ista &amp; Wasser'!E:E,1,0),"Nicht vorhanden")</f>
        <v>620007496</v>
      </c>
      <c r="F157" s="0" t="str">
        <f aca="false">IF(C157="Kaltwasser",E157-D157,"")</f>
        <v/>
      </c>
      <c r="G157" s="0" t="str">
        <f aca="false">IF(C157="Warmwasser",E157-D157,"")</f>
        <v/>
      </c>
      <c r="H157" s="118" t="str">
        <f aca="false">IF(C157="ista",E157,"")</f>
        <v/>
      </c>
    </row>
    <row r="158" customFormat="false" ht="13.5" hidden="false" customHeight="false" outlineLevel="0" collapsed="false">
      <c r="A158" s="10" t="n">
        <v>620007304</v>
      </c>
      <c r="B158" s="10" t="n">
        <v>1269</v>
      </c>
      <c r="C158" s="10" t="n">
        <v>1090</v>
      </c>
      <c r="D158" s="10" t="n">
        <v>1380</v>
      </c>
      <c r="E158" s="0" t="n">
        <f aca="false">IFERROR(VLOOKUP(A158,'Ablesung ista &amp; Wasser'!E:E,1,0),"Nicht vorhanden")</f>
        <v>620007304</v>
      </c>
      <c r="F158" s="0" t="str">
        <f aca="false">IF(C158="Kaltwasser",E158-D158,"")</f>
        <v/>
      </c>
      <c r="G158" s="0" t="str">
        <f aca="false">IF(C158="Warmwasser",E158-D158,"")</f>
        <v/>
      </c>
      <c r="H158" s="118" t="str">
        <f aca="false">IF(C158="ista",E158,"")</f>
        <v/>
      </c>
    </row>
    <row r="159" customFormat="false" ht="13.5" hidden="false" customHeight="false" outlineLevel="0" collapsed="false">
      <c r="A159" s="10" t="n">
        <v>620007267</v>
      </c>
      <c r="B159" s="10" t="n">
        <v>735</v>
      </c>
      <c r="C159" s="10" t="n">
        <v>754</v>
      </c>
      <c r="D159" s="10" t="n">
        <v>1007</v>
      </c>
      <c r="E159" s="0" t="n">
        <f aca="false">IFERROR(VLOOKUP(A159,'Ablesung ista &amp; Wasser'!E:E,1,0),"Nicht vorhanden")</f>
        <v>620007267</v>
      </c>
      <c r="F159" s="0" t="str">
        <f aca="false">IF(C159="Kaltwasser",E159-D159,"")</f>
        <v/>
      </c>
      <c r="G159" s="0" t="str">
        <f aca="false">IF(C159="Warmwasser",E159-D159,"")</f>
        <v/>
      </c>
      <c r="H159" s="118" t="str">
        <f aca="false">IF(C159="ista",E159,"")</f>
        <v/>
      </c>
    </row>
    <row r="160" customFormat="false" ht="13.5" hidden="false" customHeight="false" outlineLevel="0" collapsed="false">
      <c r="A160" s="10" t="n">
        <v>620007229</v>
      </c>
      <c r="B160" s="10" t="n">
        <v>703</v>
      </c>
      <c r="C160" s="10" t="n">
        <v>745</v>
      </c>
      <c r="D160" s="10" t="n">
        <v>802</v>
      </c>
      <c r="E160" s="0" t="n">
        <f aca="false">IFERROR(VLOOKUP(A160,'Ablesung ista &amp; Wasser'!E:E,1,0),"Nicht vorhanden")</f>
        <v>620007229</v>
      </c>
      <c r="F160" s="0" t="str">
        <f aca="false">IF(C160="Kaltwasser",E160-D160,"")</f>
        <v/>
      </c>
      <c r="G160" s="0" t="str">
        <f aca="false">IF(C160="Warmwasser",E160-D160,"")</f>
        <v/>
      </c>
      <c r="H160" s="118" t="str">
        <f aca="false">IF(C160="ista",E160,"")</f>
        <v/>
      </c>
    </row>
    <row r="161" customFormat="false" ht="13.5" hidden="false" customHeight="false" outlineLevel="0" collapsed="false">
      <c r="A161" s="10" t="n">
        <v>620007243</v>
      </c>
      <c r="B161" s="10" t="n">
        <v>478</v>
      </c>
      <c r="C161" s="10" t="n">
        <v>648</v>
      </c>
      <c r="D161" s="10" t="n">
        <v>559</v>
      </c>
      <c r="E161" s="0" t="n">
        <f aca="false">IFERROR(VLOOKUP(A161,'Ablesung ista &amp; Wasser'!E:E,1,0),"Nicht vorhanden")</f>
        <v>620007243</v>
      </c>
      <c r="F161" s="0" t="str">
        <f aca="false">IF(C161="Kaltwasser",E161-D161,"")</f>
        <v/>
      </c>
      <c r="G161" s="0" t="str">
        <f aca="false">IF(C161="Warmwasser",E161-D161,"")</f>
        <v/>
      </c>
      <c r="H161" s="118" t="str">
        <f aca="false">IF(C161="ista",E161,"")</f>
        <v/>
      </c>
    </row>
    <row r="162" customFormat="false" ht="13.5" hidden="false" customHeight="false" outlineLevel="0" collapsed="false">
      <c r="A162" s="10" t="n">
        <v>620007342</v>
      </c>
      <c r="B162" s="10" t="n">
        <v>428</v>
      </c>
      <c r="C162" s="10" t="n">
        <v>267</v>
      </c>
      <c r="D162" s="10" t="n">
        <v>275</v>
      </c>
      <c r="E162" s="0" t="n">
        <f aca="false">IFERROR(VLOOKUP(A162,'Ablesung ista &amp; Wasser'!E:E,1,0),"Nicht vorhanden")</f>
        <v>620007342</v>
      </c>
      <c r="F162" s="0" t="str">
        <f aca="false">IF(C162="Kaltwasser",E162-D162,"")</f>
        <v/>
      </c>
      <c r="G162" s="0" t="str">
        <f aca="false">IF(C162="Warmwasser",E162-D162,"")</f>
        <v/>
      </c>
      <c r="H162" s="118" t="str">
        <f aca="false">IF(C162="ista",E162,"")</f>
        <v/>
      </c>
    </row>
    <row r="163" customFormat="false" ht="13.5" hidden="false" customHeight="false" outlineLevel="0" collapsed="false">
      <c r="A163" s="10" t="n">
        <v>620008134</v>
      </c>
      <c r="B163" s="10" t="n">
        <v>54</v>
      </c>
      <c r="C163" s="10" t="n">
        <v>21</v>
      </c>
      <c r="D163" s="10" t="n">
        <v>24</v>
      </c>
      <c r="E163" s="0" t="n">
        <f aca="false">IFERROR(VLOOKUP(A163,'Ablesung ista &amp; Wasser'!E:E,1,0),"Nicht vorhanden")</f>
        <v>620008134</v>
      </c>
      <c r="F163" s="0" t="str">
        <f aca="false">IF(C163="Kaltwasser",E163-D163,"")</f>
        <v/>
      </c>
      <c r="G163" s="0" t="str">
        <f aca="false">IF(C163="Warmwasser",E163-D163,"")</f>
        <v/>
      </c>
      <c r="H163" s="118" t="str">
        <f aca="false">IF(C163="ista",E163,"")</f>
        <v/>
      </c>
    </row>
    <row r="164" customFormat="false" ht="13.5" hidden="false" customHeight="false" outlineLevel="0" collapsed="false">
      <c r="A164" s="10" t="n">
        <v>16075864</v>
      </c>
      <c r="B164" s="10" t="n">
        <v>24.485</v>
      </c>
      <c r="C164" s="10" t="n">
        <v>43.687</v>
      </c>
      <c r="D164" s="10" t="n">
        <v>61.318</v>
      </c>
      <c r="E164" s="0" t="n">
        <f aca="false">IFERROR(VLOOKUP(A164,'Ablesung ista &amp; Wasser'!E:E,1,0),"Nicht vorhanden")</f>
        <v>16075864</v>
      </c>
      <c r="F164" s="0" t="str">
        <f aca="false">IF(C164="Kaltwasser",E164-D164,"")</f>
        <v/>
      </c>
      <c r="G164" s="0" t="str">
        <f aca="false">IF(C164="Warmwasser",E164-D164,"")</f>
        <v/>
      </c>
      <c r="H164" s="118" t="str">
        <f aca="false">IF(C164="ista",E164,"")</f>
        <v/>
      </c>
    </row>
    <row r="165" customFormat="false" ht="13.5" hidden="false" customHeight="false" outlineLevel="0" collapsed="false">
      <c r="A165" s="10" t="n">
        <v>16075868</v>
      </c>
      <c r="B165" s="10" t="n">
        <v>22.077</v>
      </c>
      <c r="C165" s="10" t="n">
        <v>38.493</v>
      </c>
      <c r="D165" s="10" t="n">
        <v>54.499</v>
      </c>
      <c r="E165" s="0" t="n">
        <f aca="false">IFERROR(VLOOKUP(A165,'Ablesung ista &amp; Wasser'!E:E,1,0),"Nicht vorhanden")</f>
        <v>16075868</v>
      </c>
      <c r="F165" s="0" t="str">
        <f aca="false">IF(C165="Kaltwasser",E165-D165,"")</f>
        <v/>
      </c>
      <c r="G165" s="0" t="str">
        <f aca="false">IF(C165="Warmwasser",E165-D165,"")</f>
        <v/>
      </c>
      <c r="H165" s="118" t="str">
        <f aca="false">IF(C165="ista",E165,"")</f>
        <v/>
      </c>
    </row>
    <row r="166" customFormat="false" ht="13.5" hidden="false" customHeight="false" outlineLevel="0" collapsed="false">
      <c r="A166" s="10" t="n">
        <v>16160643</v>
      </c>
      <c r="B166" s="10" t="n">
        <v>8.694</v>
      </c>
      <c r="C166" s="10" t="n">
        <v>15.847</v>
      </c>
      <c r="D166" s="10" t="n">
        <v>22.896</v>
      </c>
      <c r="E166" s="0" t="n">
        <f aca="false">IFERROR(VLOOKUP(A166,'Ablesung ista &amp; Wasser'!E:E,1,0),"Nicht vorhanden")</f>
        <v>16160643</v>
      </c>
      <c r="F166" s="0" t="str">
        <f aca="false">IF(C166="Kaltwasser",E166-D166,"")</f>
        <v/>
      </c>
      <c r="G166" s="0" t="str">
        <f aca="false">IF(C166="Warmwasser",E166-D166,"")</f>
        <v/>
      </c>
      <c r="H166" s="118" t="str">
        <f aca="false">IF(C166="ista",E166,"")</f>
        <v/>
      </c>
    </row>
    <row r="167" customFormat="false" ht="13.5" hidden="false" customHeight="false" outlineLevel="0" collapsed="false">
      <c r="A167" s="10" t="n">
        <v>16160926</v>
      </c>
      <c r="B167" s="10" t="n">
        <v>6.622</v>
      </c>
      <c r="C167" s="10" t="n">
        <v>11.364</v>
      </c>
      <c r="D167" s="10" t="n">
        <v>15.791</v>
      </c>
      <c r="E167" s="0" t="n">
        <f aca="false">IFERROR(VLOOKUP(A167,'Ablesung ista &amp; Wasser'!E:E,1,0),"Nicht vorhanden")</f>
        <v>16160926</v>
      </c>
      <c r="F167" s="0" t="str">
        <f aca="false">IF(C167="Kaltwasser",E167-D167,"")</f>
        <v/>
      </c>
      <c r="G167" s="0" t="str">
        <f aca="false">IF(C167="Warmwasser",E167-D167,"")</f>
        <v/>
      </c>
      <c r="H167" s="118" t="str">
        <f aca="false">IF(C167="ista",E167,"")</f>
        <v/>
      </c>
    </row>
    <row r="168" customFormat="false" ht="13.5" hidden="false" customHeight="false" outlineLevel="0" collapsed="false">
      <c r="A168" s="10" t="n">
        <v>620008257</v>
      </c>
      <c r="B168" s="10" t="n">
        <v>946</v>
      </c>
      <c r="C168" s="10" t="n">
        <v>970</v>
      </c>
      <c r="D168" s="10" t="n">
        <v>872</v>
      </c>
      <c r="E168" s="0" t="n">
        <f aca="false">IFERROR(VLOOKUP(A168,'Ablesung ista &amp; Wasser'!E:E,1,0),"Nicht vorhanden")</f>
        <v>620008257</v>
      </c>
      <c r="F168" s="0" t="str">
        <f aca="false">IF(C168="Kaltwasser",E168-D168,"")</f>
        <v/>
      </c>
      <c r="G168" s="0" t="str">
        <f aca="false">IF(C168="Warmwasser",E168-D168,"")</f>
        <v/>
      </c>
      <c r="H168" s="118" t="str">
        <f aca="false">IF(C168="ista",E168,"")</f>
        <v/>
      </c>
    </row>
    <row r="169" customFormat="false" ht="13.5" hidden="false" customHeight="false" outlineLevel="0" collapsed="false">
      <c r="A169" s="10" t="n">
        <v>620008219</v>
      </c>
      <c r="B169" s="10" t="n">
        <v>770</v>
      </c>
      <c r="C169" s="10" t="n">
        <v>825</v>
      </c>
      <c r="D169" s="10" t="n">
        <v>653</v>
      </c>
      <c r="E169" s="0" t="n">
        <f aca="false">IFERROR(VLOOKUP(A169,'Ablesung ista &amp; Wasser'!E:E,1,0),"Nicht vorhanden")</f>
        <v>620008219</v>
      </c>
      <c r="F169" s="0" t="str">
        <f aca="false">IF(C169="Kaltwasser",E169-D169,"")</f>
        <v/>
      </c>
      <c r="G169" s="0" t="str">
        <f aca="false">IF(C169="Warmwasser",E169-D169,"")</f>
        <v/>
      </c>
      <c r="H169" s="118" t="str">
        <f aca="false">IF(C169="ista",E169,"")</f>
        <v/>
      </c>
    </row>
    <row r="170" customFormat="false" ht="13.5" hidden="false" customHeight="false" outlineLevel="0" collapsed="false">
      <c r="A170" s="10" t="n">
        <v>620008318</v>
      </c>
      <c r="B170" s="10" t="n">
        <v>640</v>
      </c>
      <c r="C170" s="10" t="n">
        <v>668</v>
      </c>
      <c r="D170" s="10" t="n">
        <v>575</v>
      </c>
      <c r="E170" s="0" t="n">
        <f aca="false">IFERROR(VLOOKUP(A170,'Ablesung ista &amp; Wasser'!E:E,1,0),"Nicht vorhanden")</f>
        <v>620008318</v>
      </c>
      <c r="F170" s="0" t="str">
        <f aca="false">IF(C170="Kaltwasser",E170-D170,"")</f>
        <v/>
      </c>
      <c r="G170" s="0" t="str">
        <f aca="false">IF(C170="Warmwasser",E170-D170,"")</f>
        <v/>
      </c>
      <c r="H170" s="118" t="str">
        <f aca="false">IF(C170="ista",E170,"")</f>
        <v/>
      </c>
    </row>
    <row r="171" customFormat="false" ht="13.5" hidden="false" customHeight="false" outlineLevel="0" collapsed="false">
      <c r="A171" s="10" t="n">
        <v>620008233</v>
      </c>
      <c r="B171" s="10" t="n">
        <v>580</v>
      </c>
      <c r="C171" s="10" t="n">
        <v>592</v>
      </c>
      <c r="D171" s="10" t="n">
        <v>631</v>
      </c>
      <c r="E171" s="0" t="n">
        <f aca="false">IFERROR(VLOOKUP(A171,'Ablesung ista &amp; Wasser'!E:E,1,0),"Nicht vorhanden")</f>
        <v>620008233</v>
      </c>
      <c r="F171" s="0" t="str">
        <f aca="false">IF(C171="Kaltwasser",E171-D171,"")</f>
        <v/>
      </c>
      <c r="G171" s="0" t="str">
        <f aca="false">IF(C171="Warmwasser",E171-D171,"")</f>
        <v/>
      </c>
      <c r="H171" s="118" t="str">
        <f aca="false">IF(C171="ista",E171,"")</f>
        <v/>
      </c>
    </row>
    <row r="172" customFormat="false" ht="13.5" hidden="false" customHeight="false" outlineLevel="0" collapsed="false">
      <c r="A172" s="10" t="n">
        <v>620008356</v>
      </c>
      <c r="B172" s="10" t="n">
        <v>195</v>
      </c>
      <c r="C172" s="10" t="n">
        <v>311</v>
      </c>
      <c r="D172" s="10" t="n">
        <v>178</v>
      </c>
      <c r="E172" s="0" t="n">
        <f aca="false">IFERROR(VLOOKUP(A172,'Ablesung ista &amp; Wasser'!E:E,1,0),"Nicht vorhanden")</f>
        <v>620008356</v>
      </c>
      <c r="F172" s="0" t="str">
        <f aca="false">IF(C172="Kaltwasser",E172-D172,"")</f>
        <v/>
      </c>
      <c r="G172" s="0" t="str">
        <f aca="false">IF(C172="Warmwasser",E172-D172,"")</f>
        <v/>
      </c>
      <c r="H172" s="118" t="str">
        <f aca="false">IF(C172="ista",E172,"")</f>
        <v/>
      </c>
    </row>
    <row r="173" customFormat="false" ht="13.5" hidden="false" customHeight="false" outlineLevel="0" collapsed="false">
      <c r="A173" s="10" t="n">
        <v>620008370</v>
      </c>
      <c r="B173" s="10" t="n">
        <v>25</v>
      </c>
      <c r="C173" s="10" t="n">
        <v>32</v>
      </c>
      <c r="D173" s="10" t="n">
        <v>106</v>
      </c>
      <c r="E173" s="0" t="n">
        <f aca="false">IFERROR(VLOOKUP(A173,'Ablesung ista &amp; Wasser'!E:E,1,0),"Nicht vorhanden")</f>
        <v>620008370</v>
      </c>
      <c r="F173" s="0" t="str">
        <f aca="false">IF(C173="Kaltwasser",E173-D173,"")</f>
        <v/>
      </c>
      <c r="G173" s="0" t="str">
        <f aca="false">IF(C173="Warmwasser",E173-D173,"")</f>
        <v/>
      </c>
      <c r="H173" s="118" t="str">
        <f aca="false">IF(C173="ista",E173,"")</f>
        <v/>
      </c>
    </row>
    <row r="174" customFormat="false" ht="13.5" hidden="false" customHeight="false" outlineLevel="0" collapsed="false">
      <c r="A174" s="10" t="n">
        <v>16200251</v>
      </c>
      <c r="B174" s="10" t="n">
        <v>61.398</v>
      </c>
      <c r="C174" s="10" t="n">
        <v>97.248</v>
      </c>
      <c r="D174" s="10" t="n">
        <v>129.927</v>
      </c>
      <c r="E174" s="0" t="n">
        <f aca="false">IFERROR(VLOOKUP(A174,'Ablesung ista &amp; Wasser'!E:E,1,0),"Nicht vorhanden")</f>
        <v>16200251</v>
      </c>
      <c r="F174" s="0" t="str">
        <f aca="false">IF(C174="Kaltwasser",E174-D174,"")</f>
        <v/>
      </c>
      <c r="G174" s="0" t="str">
        <f aca="false">IF(C174="Warmwasser",E174-D174,"")</f>
        <v/>
      </c>
      <c r="H174" s="118" t="str">
        <f aca="false">IF(C174="ista",E174,"")</f>
        <v/>
      </c>
    </row>
    <row r="175" customFormat="false" ht="13.5" hidden="false" customHeight="false" outlineLevel="0" collapsed="false">
      <c r="A175" s="10" t="n">
        <v>16075690</v>
      </c>
      <c r="B175" s="10" t="n">
        <v>16.484</v>
      </c>
      <c r="C175" s="10" t="n">
        <v>29.18</v>
      </c>
      <c r="D175" s="10" t="n">
        <v>39.726</v>
      </c>
      <c r="E175" s="0" t="n">
        <f aca="false">IFERROR(VLOOKUP(A175,'Ablesung ista &amp; Wasser'!E:E,1,0),"Nicht vorhanden")</f>
        <v>16075690</v>
      </c>
      <c r="F175" s="0" t="str">
        <f aca="false">IF(C175="Kaltwasser",E175-D175,"")</f>
        <v/>
      </c>
      <c r="G175" s="0" t="str">
        <f aca="false">IF(C175="Warmwasser",E175-D175,"")</f>
        <v/>
      </c>
      <c r="H175" s="118" t="str">
        <f aca="false">IF(C175="ista",E175,"")</f>
        <v/>
      </c>
    </row>
    <row r="176" customFormat="false" ht="13.5" hidden="false" customHeight="false" outlineLevel="0" collapsed="false">
      <c r="A176" s="10" t="n">
        <v>16160644</v>
      </c>
      <c r="B176" s="10" t="n">
        <v>30.846</v>
      </c>
      <c r="C176" s="10" t="n">
        <v>48.675</v>
      </c>
      <c r="D176" s="10" t="n">
        <v>63.531</v>
      </c>
      <c r="E176" s="0" t="n">
        <f aca="false">IFERROR(VLOOKUP(A176,'Ablesung ista &amp; Wasser'!E:E,1,0),"Nicht vorhanden")</f>
        <v>16160644</v>
      </c>
      <c r="F176" s="0" t="str">
        <f aca="false">IF(C176="Kaltwasser",E176-D176,"")</f>
        <v/>
      </c>
      <c r="G176" s="0" t="str">
        <f aca="false">IF(C176="Warmwasser",E176-D176,"")</f>
        <v/>
      </c>
      <c r="H176" s="118" t="str">
        <f aca="false">IF(C176="ista",E176,"")</f>
        <v/>
      </c>
    </row>
    <row r="177" customFormat="false" ht="13.5" hidden="false" customHeight="false" outlineLevel="0" collapsed="false">
      <c r="A177" s="10" t="n">
        <v>16160650</v>
      </c>
      <c r="B177" s="10" t="n">
        <v>5.475</v>
      </c>
      <c r="C177" s="10" t="n">
        <v>8.153</v>
      </c>
      <c r="D177" s="10" t="n">
        <v>10.574</v>
      </c>
      <c r="E177" s="0" t="n">
        <f aca="false">IFERROR(VLOOKUP(A177,'Ablesung ista &amp; Wasser'!E:E,1,0),"Nicht vorhanden")</f>
        <v>16160650</v>
      </c>
      <c r="F177" s="0" t="str">
        <f aca="false">IF(C177="Kaltwasser",E177-D177,"")</f>
        <v/>
      </c>
      <c r="G177" s="0" t="str">
        <f aca="false">IF(C177="Warmwasser",E177-D177,"")</f>
        <v/>
      </c>
      <c r="H177" s="118" t="str">
        <f aca="false">IF(C177="ista",E177,"")</f>
        <v/>
      </c>
    </row>
    <row r="178" customFormat="false" ht="13.5" hidden="false" customHeight="false" outlineLevel="0" collapsed="false">
      <c r="A178" s="10" t="n">
        <v>620215020</v>
      </c>
      <c r="B178" s="10" t="n">
        <v>2290</v>
      </c>
      <c r="C178" s="10" t="n">
        <v>2194</v>
      </c>
      <c r="D178" s="10" t="n">
        <v>2646</v>
      </c>
      <c r="E178" s="0" t="n">
        <f aca="false">IFERROR(VLOOKUP(A178,'Ablesung ista &amp; Wasser'!E:E,1,0),"Nicht vorhanden")</f>
        <v>620215020</v>
      </c>
      <c r="F178" s="0" t="str">
        <f aca="false">IF(C178="Kaltwasser",E178-D178,"")</f>
        <v/>
      </c>
      <c r="G178" s="0" t="str">
        <f aca="false">IF(C178="Warmwasser",E178-D178,"")</f>
        <v/>
      </c>
      <c r="H178" s="118" t="str">
        <f aca="false">IF(C178="ista",E178,"")</f>
        <v/>
      </c>
    </row>
    <row r="179" customFormat="false" ht="13.5" hidden="false" customHeight="false" outlineLevel="0" collapsed="false">
      <c r="A179" s="10" t="n">
        <v>620008110</v>
      </c>
      <c r="B179" s="10" t="n">
        <v>1825</v>
      </c>
      <c r="C179" s="10" t="n">
        <v>1495</v>
      </c>
      <c r="D179" s="10" t="n">
        <v>1135</v>
      </c>
      <c r="E179" s="0" t="n">
        <f aca="false">IFERROR(VLOOKUP(A179,'Ablesung ista &amp; Wasser'!E:E,1,0),"Nicht vorhanden")</f>
        <v>620008110</v>
      </c>
      <c r="F179" s="0" t="str">
        <f aca="false">IF(C179="Kaltwasser",E179-D179,"")</f>
        <v/>
      </c>
      <c r="G179" s="0" t="str">
        <f aca="false">IF(C179="Warmwasser",E179-D179,"")</f>
        <v/>
      </c>
      <c r="H179" s="118" t="str">
        <f aca="false">IF(C179="ista",E179,"")</f>
        <v/>
      </c>
    </row>
    <row r="180" customFormat="false" ht="13.5" hidden="false" customHeight="false" outlineLevel="0" collapsed="false">
      <c r="A180" s="10" t="n">
        <v>620008455</v>
      </c>
      <c r="B180" s="10" t="n">
        <v>1633</v>
      </c>
      <c r="C180" s="10" t="n">
        <v>1933</v>
      </c>
      <c r="D180" s="10" t="n">
        <v>2217</v>
      </c>
      <c r="E180" s="0" t="n">
        <f aca="false">IFERROR(VLOOKUP(A180,'Ablesung ista &amp; Wasser'!E:E,1,0),"Nicht vorhanden")</f>
        <v>620008455</v>
      </c>
      <c r="F180" s="0" t="str">
        <f aca="false">IF(C180="Kaltwasser",E180-D180,"")</f>
        <v/>
      </c>
      <c r="G180" s="0" t="str">
        <f aca="false">IF(C180="Warmwasser",E180-D180,"")</f>
        <v/>
      </c>
      <c r="H180" s="118" t="str">
        <f aca="false">IF(C180="ista",E180,"")</f>
        <v/>
      </c>
    </row>
    <row r="181" customFormat="false" ht="13.5" hidden="false" customHeight="false" outlineLevel="0" collapsed="false">
      <c r="A181" s="10" t="n">
        <v>620007366</v>
      </c>
      <c r="B181" s="10" t="n">
        <v>546</v>
      </c>
      <c r="C181" s="10" t="n">
        <v>1428</v>
      </c>
      <c r="D181" s="10" t="n">
        <v>1756</v>
      </c>
      <c r="E181" s="0" t="n">
        <f aca="false">IFERROR(VLOOKUP(A181,'Ablesung ista &amp; Wasser'!E:E,1,0),"Nicht vorhanden")</f>
        <v>620007366</v>
      </c>
      <c r="F181" s="0" t="str">
        <f aca="false">IF(C181="Kaltwasser",E181-D181,"")</f>
        <v/>
      </c>
      <c r="G181" s="0" t="str">
        <f aca="false">IF(C181="Warmwasser",E181-D181,"")</f>
        <v/>
      </c>
      <c r="H181" s="118" t="str">
        <f aca="false">IF(C181="ista",E181,"")</f>
        <v/>
      </c>
    </row>
    <row r="182" customFormat="false" ht="13.5" hidden="false" customHeight="false" outlineLevel="0" collapsed="false">
      <c r="A182" s="10" t="n">
        <v>620007328</v>
      </c>
      <c r="B182" s="10" t="n">
        <v>502</v>
      </c>
      <c r="C182" s="10" t="n">
        <v>242</v>
      </c>
      <c r="D182" s="10" t="n">
        <v>211</v>
      </c>
      <c r="E182" s="0" t="n">
        <f aca="false">IFERROR(VLOOKUP(A182,'Ablesung ista &amp; Wasser'!E:E,1,0),"Nicht vorhanden")</f>
        <v>620007328</v>
      </c>
      <c r="F182" s="0" t="str">
        <f aca="false">IF(C182="Kaltwasser",E182-D182,"")</f>
        <v/>
      </c>
      <c r="G182" s="0" t="str">
        <f aca="false">IF(C182="Warmwasser",E182-D182,"")</f>
        <v/>
      </c>
      <c r="H182" s="118" t="str">
        <f aca="false">IF(C182="ista",E182,"")</f>
        <v/>
      </c>
    </row>
    <row r="183" customFormat="false" ht="13.5" hidden="false" customHeight="false" outlineLevel="0" collapsed="false">
      <c r="A183" s="10" t="n">
        <v>620008516</v>
      </c>
      <c r="B183" s="10" t="n">
        <v>303</v>
      </c>
      <c r="C183" s="10" t="n">
        <v>176</v>
      </c>
      <c r="D183" s="10" t="n">
        <v>165</v>
      </c>
      <c r="E183" s="0" t="n">
        <f aca="false">IFERROR(VLOOKUP(A183,'Ablesung ista &amp; Wasser'!E:E,1,0),"Nicht vorhanden")</f>
        <v>620008516</v>
      </c>
      <c r="F183" s="0" t="str">
        <f aca="false">IF(C183="Kaltwasser",E183-D183,"")</f>
        <v/>
      </c>
      <c r="G183" s="0" t="str">
        <f aca="false">IF(C183="Warmwasser",E183-D183,"")</f>
        <v/>
      </c>
      <c r="H183" s="118" t="str">
        <f aca="false">IF(C183="ista",E183,"")</f>
        <v/>
      </c>
    </row>
    <row r="184" customFormat="false" ht="13.5" hidden="false" customHeight="false" outlineLevel="0" collapsed="false">
      <c r="A184" s="10" t="n">
        <v>620007472</v>
      </c>
      <c r="B184" s="10" t="n">
        <v>303</v>
      </c>
      <c r="C184" s="10" t="n">
        <v>173</v>
      </c>
      <c r="D184" s="10" t="n">
        <v>268</v>
      </c>
      <c r="E184" s="0" t="n">
        <f aca="false">IFERROR(VLOOKUP(A184,'Ablesung ista &amp; Wasser'!E:E,1,0),"Nicht vorhanden")</f>
        <v>620007472</v>
      </c>
      <c r="F184" s="0" t="str">
        <f aca="false">IF(C184="Kaltwasser",E184-D184,"")</f>
        <v/>
      </c>
      <c r="G184" s="0" t="str">
        <f aca="false">IF(C184="Warmwasser",E184-D184,"")</f>
        <v/>
      </c>
      <c r="H184" s="118" t="str">
        <f aca="false">IF(C184="ista",E184,"")</f>
        <v/>
      </c>
    </row>
    <row r="185" customFormat="false" ht="13.5" hidden="false" customHeight="false" outlineLevel="0" collapsed="false">
      <c r="A185" s="10" t="n">
        <v>620008332</v>
      </c>
      <c r="B185" s="10" t="n">
        <v>155</v>
      </c>
      <c r="C185" s="10" t="n">
        <v>291</v>
      </c>
      <c r="D185" s="10" t="n">
        <v>310</v>
      </c>
      <c r="E185" s="0" t="n">
        <f aca="false">IFERROR(VLOOKUP(A185,'Ablesung ista &amp; Wasser'!E:E,1,0),"Nicht vorhanden")</f>
        <v>620008332</v>
      </c>
      <c r="F185" s="0" t="str">
        <f aca="false">IF(C185="Kaltwasser",E185-D185,"")</f>
        <v/>
      </c>
      <c r="G185" s="0" t="str">
        <f aca="false">IF(C185="Warmwasser",E185-D185,"")</f>
        <v/>
      </c>
      <c r="H185" s="118" t="str">
        <f aca="false">IF(C185="ista",E185,"")</f>
        <v/>
      </c>
    </row>
    <row r="186" customFormat="false" ht="13.5" hidden="false" customHeight="false" outlineLevel="0" collapsed="false">
      <c r="A186" s="10" t="n">
        <v>620008493</v>
      </c>
      <c r="B186" s="10" t="n">
        <v>5</v>
      </c>
      <c r="C186" s="10" t="n">
        <v>49</v>
      </c>
      <c r="D186" s="10" t="n">
        <v>10</v>
      </c>
      <c r="E186" s="0" t="n">
        <f aca="false">IFERROR(VLOOKUP(A186,'Ablesung ista &amp; Wasser'!E:E,1,0),"Nicht vorhanden")</f>
        <v>620008493</v>
      </c>
      <c r="F186" s="0" t="str">
        <f aca="false">IF(C186="Kaltwasser",E186-D186,"")</f>
        <v/>
      </c>
      <c r="G186" s="0" t="str">
        <f aca="false">IF(C186="Warmwasser",E186-D186,"")</f>
        <v/>
      </c>
      <c r="H186" s="118" t="str">
        <f aca="false">IF(C186="ista",E186,"")</f>
        <v/>
      </c>
    </row>
    <row r="187" customFormat="false" ht="13.5" hidden="false" customHeight="false" outlineLevel="0" collapsed="false">
      <c r="A187" s="10" t="n">
        <v>620008196</v>
      </c>
      <c r="B187" s="10" t="n">
        <v>2</v>
      </c>
      <c r="C187" s="10" t="n">
        <v>434</v>
      </c>
      <c r="D187" s="10" t="n">
        <v>20</v>
      </c>
      <c r="E187" s="0" t="n">
        <f aca="false">IFERROR(VLOOKUP(A187,'Ablesung ista &amp; Wasser'!E:E,1,0),"Nicht vorhanden")</f>
        <v>620008196</v>
      </c>
      <c r="F187" s="0" t="str">
        <f aca="false">IF(C187="Kaltwasser",E187-D187,"")</f>
        <v/>
      </c>
      <c r="G187" s="0" t="str">
        <f aca="false">IF(C187="Warmwasser",E187-D187,"")</f>
        <v/>
      </c>
      <c r="H187" s="118" t="str">
        <f aca="false">IF(C187="ista",E187,"")</f>
        <v/>
      </c>
    </row>
    <row r="188" customFormat="false" ht="13.5" hidden="false" customHeight="false" outlineLevel="0" collapsed="false">
      <c r="A188" s="10" t="n">
        <v>16200484</v>
      </c>
      <c r="B188" s="10" t="n">
        <v>24.552</v>
      </c>
      <c r="C188" s="10" t="n">
        <v>41.629</v>
      </c>
      <c r="D188" s="10" t="n">
        <v>69.448</v>
      </c>
      <c r="E188" s="0" t="n">
        <f aca="false">IFERROR(VLOOKUP(A188,'Ablesung ista &amp; Wasser'!E:E,1,0),"Nicht vorhanden")</f>
        <v>16200484</v>
      </c>
      <c r="F188" s="0" t="str">
        <f aca="false">IF(C188="Kaltwasser",E188-D188,"")</f>
        <v/>
      </c>
      <c r="G188" s="0" t="str">
        <f aca="false">IF(C188="Warmwasser",E188-D188,"")</f>
        <v/>
      </c>
      <c r="H188" s="118" t="str">
        <f aca="false">IF(C188="ista",E188,"")</f>
        <v/>
      </c>
    </row>
    <row r="189" customFormat="false" ht="13.5" hidden="false" customHeight="false" outlineLevel="0" collapsed="false">
      <c r="A189" s="10" t="n">
        <v>16201338</v>
      </c>
      <c r="B189" s="10" t="n">
        <v>24.75</v>
      </c>
      <c r="C189" s="10" t="n">
        <v>45.208</v>
      </c>
      <c r="D189" s="10" t="n">
        <v>62.831</v>
      </c>
      <c r="E189" s="0" t="n">
        <f aca="false">IFERROR(VLOOKUP(A189,'Ablesung ista &amp; Wasser'!E:E,1,0),"Nicht vorhanden")</f>
        <v>16201338</v>
      </c>
      <c r="F189" s="0" t="str">
        <f aca="false">IF(C189="Kaltwasser",E189-D189,"")</f>
        <v/>
      </c>
      <c r="G189" s="0" t="str">
        <f aca="false">IF(C189="Warmwasser",E189-D189,"")</f>
        <v/>
      </c>
      <c r="H189" s="118" t="str">
        <f aca="false">IF(C189="ista",E189,"")</f>
        <v/>
      </c>
    </row>
    <row r="190" customFormat="false" ht="13.5" hidden="false" customHeight="false" outlineLevel="0" collapsed="false">
      <c r="A190" s="10" t="n">
        <v>16209340</v>
      </c>
      <c r="B190" s="10" t="n">
        <v>20.003</v>
      </c>
      <c r="C190" s="10" t="n">
        <v>35.814</v>
      </c>
      <c r="D190" s="10" t="n">
        <v>48.91</v>
      </c>
      <c r="E190" s="0" t="n">
        <f aca="false">IFERROR(VLOOKUP(A190,'Ablesung ista &amp; Wasser'!E:E,1,0),"Nicht vorhanden")</f>
        <v>16209340</v>
      </c>
      <c r="F190" s="0" t="str">
        <f aca="false">IF(C190="Kaltwasser",E190-D190,"")</f>
        <v/>
      </c>
      <c r="G190" s="0" t="str">
        <f aca="false">IF(C190="Warmwasser",E190-D190,"")</f>
        <v/>
      </c>
      <c r="H190" s="118" t="str">
        <f aca="false">IF(C190="ista",E190,"")</f>
        <v/>
      </c>
    </row>
    <row r="191" customFormat="false" ht="13.5" hidden="false" customHeight="false" outlineLevel="0" collapsed="false">
      <c r="A191" s="10" t="n">
        <v>16160963</v>
      </c>
      <c r="B191" s="10" t="n">
        <v>1.283</v>
      </c>
      <c r="C191" s="10" t="n">
        <v>2.431</v>
      </c>
      <c r="D191" s="10" t="n">
        <v>10.794</v>
      </c>
      <c r="E191" s="0" t="n">
        <f aca="false">IFERROR(VLOOKUP(A191,'Ablesung ista &amp; Wasser'!E:E,1,0),"Nicht vorhanden")</f>
        <v>16160963</v>
      </c>
      <c r="F191" s="0" t="str">
        <f aca="false">IF(C191="Kaltwasser",E191-D191,"")</f>
        <v/>
      </c>
      <c r="G191" s="0" t="str">
        <f aca="false">IF(C191="Warmwasser",E191-D191,"")</f>
        <v/>
      </c>
      <c r="H191" s="118" t="str">
        <f aca="false">IF(C191="ista",E191,"")</f>
        <v/>
      </c>
    </row>
    <row r="192" customFormat="false" ht="13.5" hidden="false" customHeight="false" outlineLevel="0" collapsed="false">
      <c r="A192" s="10" t="n">
        <v>16129397</v>
      </c>
      <c r="B192" s="10" t="n">
        <v>0.83</v>
      </c>
      <c r="C192" s="10" t="n">
        <v>1.408</v>
      </c>
      <c r="D192" s="10" t="n">
        <v>2.25</v>
      </c>
      <c r="E192" s="0" t="n">
        <f aca="false">IFERROR(VLOOKUP(A192,'Ablesung ista &amp; Wasser'!E:E,1,0),"Nicht vorhanden")</f>
        <v>16129397</v>
      </c>
      <c r="F192" s="0" t="str">
        <f aca="false">IF(C192="Kaltwasser",E192-D192,"")</f>
        <v/>
      </c>
      <c r="G192" s="0" t="str">
        <f aca="false">IF(C192="Warmwasser",E192-D192,"")</f>
        <v/>
      </c>
      <c r="H192" s="118" t="str">
        <f aca="false">IF(C192="ista",E192,"")</f>
        <v/>
      </c>
    </row>
    <row r="193" customFormat="false" ht="13.5" hidden="false" customHeight="false" outlineLevel="0" collapsed="false">
      <c r="A193" s="10" t="n">
        <v>15997897</v>
      </c>
      <c r="B193" s="10" t="n">
        <v>2.099</v>
      </c>
      <c r="C193" s="10" t="n">
        <v>4.133</v>
      </c>
      <c r="D193" s="10" t="n">
        <v>6.443</v>
      </c>
      <c r="E193" s="0" t="n">
        <f aca="false">IFERROR(VLOOKUP(A193,'Ablesung ista &amp; Wasser'!E:E,1,0),"Nicht vorhanden")</f>
        <v>15997897</v>
      </c>
      <c r="F193" s="0" t="str">
        <f aca="false">IF(C193="Kaltwasser",E193-D193,"")</f>
        <v/>
      </c>
      <c r="G193" s="0" t="str">
        <f aca="false">IF(C193="Warmwasser",E193-D193,"")</f>
        <v/>
      </c>
      <c r="H193" s="118" t="str">
        <f aca="false">IF(C193="ista",E193,"")</f>
        <v/>
      </c>
    </row>
    <row r="194" customFormat="false" ht="13.5" hidden="false" customHeight="false" outlineLevel="0" collapsed="false">
      <c r="A194" s="10" t="n">
        <v>16201331</v>
      </c>
      <c r="B194" s="10" t="n">
        <v>0</v>
      </c>
      <c r="C194" s="10" t="n">
        <v>30.842</v>
      </c>
      <c r="D194" s="10" t="n">
        <v>37.697</v>
      </c>
      <c r="E194" s="0" t="n">
        <f aca="false">IFERROR(VLOOKUP(A194,'Ablesung ista &amp; Wasser'!E:E,1,0),"Nicht vorhanden")</f>
        <v>16201331</v>
      </c>
      <c r="F194" s="0" t="str">
        <f aca="false">IF(C194="Kaltwasser",E194-D194,"")</f>
        <v/>
      </c>
      <c r="G194" s="0" t="str">
        <f aca="false">IF(C194="Warmwasser",E194-D194,"")</f>
        <v/>
      </c>
      <c r="H194" s="118" t="str">
        <f aca="false">IF(C194="ista",E194,"")</f>
        <v/>
      </c>
    </row>
    <row r="195" customFormat="false" ht="13.5" hidden="false" customHeight="false" outlineLevel="0" collapsed="false">
      <c r="A195" s="10" t="n">
        <v>16160140</v>
      </c>
      <c r="B195" s="10" t="n">
        <v>0</v>
      </c>
      <c r="C195" s="10" t="n">
        <v>25.996</v>
      </c>
      <c r="D195" s="10" t="n">
        <v>31.733</v>
      </c>
      <c r="E195" s="0" t="n">
        <f aca="false">IFERROR(VLOOKUP(A195,'Ablesung ista &amp; Wasser'!E:E,1,0),"Nicht vorhanden")</f>
        <v>16160140</v>
      </c>
      <c r="F195" s="0" t="str">
        <f aca="false">IF(C195="Kaltwasser",E195-D195,"")</f>
        <v/>
      </c>
      <c r="G195" s="0" t="str">
        <f aca="false">IF(C195="Warmwasser",E195-D195,"")</f>
        <v/>
      </c>
      <c r="H195" s="118" t="str">
        <f aca="false">IF(C195="ista",E195,"")</f>
        <v/>
      </c>
    </row>
    <row r="196" customFormat="false" ht="13.5" hidden="false" customHeight="false" outlineLevel="0" collapsed="false">
      <c r="A196" s="10" t="n">
        <v>620007298</v>
      </c>
      <c r="B196" s="10" t="n">
        <v>1371</v>
      </c>
      <c r="C196" s="10" t="n">
        <v>964</v>
      </c>
      <c r="D196" s="10" t="n">
        <v>363</v>
      </c>
      <c r="E196" s="0" t="n">
        <f aca="false">IFERROR(VLOOKUP(A196,'Ablesung ista &amp; Wasser'!E:E,1,0),"Nicht vorhanden")</f>
        <v>620007298</v>
      </c>
      <c r="F196" s="0" t="str">
        <f aca="false">IF(C196="Kaltwasser",E196-D196,"")</f>
        <v/>
      </c>
      <c r="G196" s="0" t="str">
        <f aca="false">IF(C196="Warmwasser",E196-D196,"")</f>
        <v/>
      </c>
      <c r="H196" s="118" t="str">
        <f aca="false">IF(C196="ista",E196,"")</f>
        <v/>
      </c>
    </row>
    <row r="197" customFormat="false" ht="13.5" hidden="false" customHeight="false" outlineLevel="0" collapsed="false">
      <c r="A197" s="10" t="n">
        <v>620007281</v>
      </c>
      <c r="B197" s="10" t="n">
        <v>895</v>
      </c>
      <c r="C197" s="10" t="n">
        <v>895</v>
      </c>
      <c r="D197" s="10" t="n">
        <v>1049</v>
      </c>
      <c r="E197" s="0" t="n">
        <f aca="false">IFERROR(VLOOKUP(A197,'Ablesung ista &amp; Wasser'!E:E,1,0),"Nicht vorhanden")</f>
        <v>620007281</v>
      </c>
      <c r="F197" s="0" t="str">
        <f aca="false">IF(C197="Kaltwasser",E197-D197,"")</f>
        <v/>
      </c>
      <c r="G197" s="0" t="str">
        <f aca="false">IF(C197="Warmwasser",E197-D197,"")</f>
        <v/>
      </c>
      <c r="H197" s="118" t="str">
        <f aca="false">IF(C197="ista",E197,"")</f>
        <v/>
      </c>
    </row>
    <row r="198" customFormat="false" ht="13.5" hidden="false" customHeight="false" outlineLevel="0" collapsed="false">
      <c r="A198" s="10" t="n">
        <v>620009148</v>
      </c>
      <c r="B198" s="10" t="n">
        <v>826</v>
      </c>
      <c r="C198" s="10" t="n">
        <v>899</v>
      </c>
      <c r="D198" s="10" t="n">
        <v>799</v>
      </c>
      <c r="E198" s="0" t="n">
        <f aca="false">IFERROR(VLOOKUP(A198,'Ablesung ista &amp; Wasser'!E:E,1,0),"Nicht vorhanden")</f>
        <v>620009148</v>
      </c>
      <c r="F198" s="0" t="str">
        <f aca="false">IF(C198="Kaltwasser",E198-D198,"")</f>
        <v/>
      </c>
      <c r="G198" s="0" t="str">
        <f aca="false">IF(C198="Warmwasser",E198-D198,"")</f>
        <v/>
      </c>
      <c r="H198" s="118" t="str">
        <f aca="false">IF(C198="ista",E198,"")</f>
        <v/>
      </c>
    </row>
    <row r="199" customFormat="false" ht="13.5" hidden="false" customHeight="false" outlineLevel="0" collapsed="false">
      <c r="A199" s="10" t="n">
        <v>620009223</v>
      </c>
      <c r="B199" s="10" t="n">
        <v>396</v>
      </c>
      <c r="C199" s="10" t="n">
        <v>410</v>
      </c>
      <c r="D199" s="10" t="n">
        <v>346</v>
      </c>
      <c r="E199" s="0" t="n">
        <f aca="false">IFERROR(VLOOKUP(A199,'Ablesung ista &amp; Wasser'!E:E,1,0),"Nicht vorhanden")</f>
        <v>620009223</v>
      </c>
      <c r="F199" s="0" t="str">
        <f aca="false">IF(C199="Kaltwasser",E199-D199,"")</f>
        <v/>
      </c>
      <c r="G199" s="0" t="str">
        <f aca="false">IF(C199="Warmwasser",E199-D199,"")</f>
        <v/>
      </c>
      <c r="H199" s="118" t="str">
        <f aca="false">IF(C199="ista",E199,"")</f>
        <v/>
      </c>
    </row>
    <row r="200" customFormat="false" ht="13.5" hidden="false" customHeight="false" outlineLevel="0" collapsed="false">
      <c r="A200" s="10" t="n">
        <v>620009247</v>
      </c>
      <c r="B200" s="10" t="n">
        <v>313</v>
      </c>
      <c r="C200" s="10" t="n">
        <v>62</v>
      </c>
      <c r="D200" s="10" t="n">
        <v>143</v>
      </c>
      <c r="E200" s="0" t="n">
        <f aca="false">IFERROR(VLOOKUP(A200,'Ablesung ista &amp; Wasser'!E:E,1,0),"Nicht vorhanden")</f>
        <v>620009247</v>
      </c>
      <c r="F200" s="0" t="str">
        <f aca="false">IF(C200="Kaltwasser",E200-D200,"")</f>
        <v/>
      </c>
      <c r="G200" s="0" t="str">
        <f aca="false">IF(C200="Warmwasser",E200-D200,"")</f>
        <v/>
      </c>
      <c r="H200" s="118" t="str">
        <f aca="false">IF(C200="ista",E200,"")</f>
        <v/>
      </c>
    </row>
    <row r="201" customFormat="false" ht="13.5" hidden="false" customHeight="false" outlineLevel="0" collapsed="false">
      <c r="A201" s="10" t="n">
        <v>620008981</v>
      </c>
      <c r="B201" s="10" t="n">
        <v>311</v>
      </c>
      <c r="C201" s="10" t="n">
        <v>414</v>
      </c>
      <c r="D201" s="10" t="n">
        <v>438</v>
      </c>
      <c r="E201" s="0" t="n">
        <f aca="false">IFERROR(VLOOKUP(A201,'Ablesung ista &amp; Wasser'!E:E,1,0),"Nicht vorhanden")</f>
        <v>620008981</v>
      </c>
      <c r="F201" s="0" t="str">
        <f aca="false">IF(C201="Kaltwasser",E201-D201,"")</f>
        <v/>
      </c>
      <c r="G201" s="0" t="str">
        <f aca="false">IF(C201="Warmwasser",E201-D201,"")</f>
        <v/>
      </c>
      <c r="H201" s="118" t="str">
        <f aca="false">IF(C201="ista",E201,"")</f>
        <v/>
      </c>
    </row>
    <row r="202" customFormat="false" ht="13.5" hidden="false" customHeight="false" outlineLevel="0" collapsed="false">
      <c r="A202" s="10" t="n">
        <v>620009346</v>
      </c>
      <c r="B202" s="10" t="n">
        <v>239</v>
      </c>
      <c r="C202" s="10" t="n">
        <v>462</v>
      </c>
      <c r="D202" s="10" t="n">
        <v>784</v>
      </c>
      <c r="E202" s="0" t="n">
        <f aca="false">IFERROR(VLOOKUP(A202,'Ablesung ista &amp; Wasser'!E:E,1,0),"Nicht vorhanden")</f>
        <v>620009346</v>
      </c>
      <c r="F202" s="0" t="str">
        <f aca="false">IF(C202="Kaltwasser",E202-D202,"")</f>
        <v/>
      </c>
      <c r="G202" s="0" t="str">
        <f aca="false">IF(C202="Warmwasser",E202-D202,"")</f>
        <v/>
      </c>
      <c r="H202" s="118" t="str">
        <f aca="false">IF(C202="ista",E202,"")</f>
        <v/>
      </c>
    </row>
    <row r="203" customFormat="false" ht="13.5" hidden="false" customHeight="false" outlineLevel="0" collapsed="false">
      <c r="A203" s="10" t="n">
        <v>620007403</v>
      </c>
      <c r="B203" s="10" t="n">
        <v>237</v>
      </c>
      <c r="C203" s="10" t="n">
        <v>322</v>
      </c>
      <c r="D203" s="10" t="n">
        <v>185</v>
      </c>
      <c r="E203" s="0" t="n">
        <f aca="false">IFERROR(VLOOKUP(A203,'Ablesung ista &amp; Wasser'!E:E,1,0),"Nicht vorhanden")</f>
        <v>620007403</v>
      </c>
      <c r="F203" s="0" t="str">
        <f aca="false">IF(C203="Kaltwasser",E203-D203,"")</f>
        <v/>
      </c>
      <c r="G203" s="0" t="str">
        <f aca="false">IF(C203="Warmwasser",E203-D203,"")</f>
        <v/>
      </c>
      <c r="H203" s="118" t="str">
        <f aca="false">IF(C203="ista",E203,"")</f>
        <v/>
      </c>
    </row>
    <row r="204" customFormat="false" ht="13.5" hidden="false" customHeight="false" outlineLevel="0" collapsed="false">
      <c r="A204" s="10" t="n">
        <v>620007205</v>
      </c>
      <c r="B204" s="10" t="n">
        <v>164</v>
      </c>
      <c r="C204" s="10" t="n">
        <v>267</v>
      </c>
      <c r="D204" s="10" t="n">
        <v>476</v>
      </c>
      <c r="E204" s="0" t="n">
        <f aca="false">IFERROR(VLOOKUP(A204,'Ablesung ista &amp; Wasser'!E:E,1,0),"Nicht vorhanden")</f>
        <v>620007205</v>
      </c>
      <c r="F204" s="0" t="str">
        <f aca="false">IF(C204="Kaltwasser",E204-D204,"")</f>
        <v/>
      </c>
      <c r="G204" s="0" t="str">
        <f aca="false">IF(C204="Warmwasser",E204-D204,"")</f>
        <v/>
      </c>
      <c r="H204" s="118" t="str">
        <f aca="false">IF(C204="ista",E204,"")</f>
        <v/>
      </c>
    </row>
    <row r="205" customFormat="false" ht="13.5" hidden="false" customHeight="false" outlineLevel="0" collapsed="false">
      <c r="A205" s="10" t="n">
        <v>620007458</v>
      </c>
      <c r="B205" s="10" t="n">
        <v>141</v>
      </c>
      <c r="C205" s="10" t="n">
        <v>78</v>
      </c>
      <c r="D205" s="10" t="n">
        <v>271</v>
      </c>
      <c r="E205" s="0" t="n">
        <f aca="false">IFERROR(VLOOKUP(A205,'Ablesung ista &amp; Wasser'!E:E,1,0),"Nicht vorhanden")</f>
        <v>620007458</v>
      </c>
      <c r="F205" s="0" t="str">
        <f aca="false">IF(C205="Kaltwasser",E205-D205,"")</f>
        <v/>
      </c>
      <c r="G205" s="0" t="str">
        <f aca="false">IF(C205="Warmwasser",E205-D205,"")</f>
        <v/>
      </c>
      <c r="H205" s="118" t="str">
        <f aca="false">IF(C205="ista",E205,"")</f>
        <v/>
      </c>
    </row>
    <row r="206" customFormat="false" ht="13.5" hidden="false" customHeight="false" outlineLevel="0" collapsed="false">
      <c r="A206" s="10" t="n">
        <v>620009209</v>
      </c>
      <c r="B206" s="10" t="n">
        <v>29</v>
      </c>
      <c r="C206" s="10" t="n">
        <v>17</v>
      </c>
      <c r="D206" s="10" t="n">
        <v>0</v>
      </c>
      <c r="E206" s="0" t="n">
        <f aca="false">IFERROR(VLOOKUP(A206,'Ablesung ista &amp; Wasser'!E:E,1,0),"Nicht vorhanden")</f>
        <v>620009209</v>
      </c>
      <c r="F206" s="0" t="str">
        <f aca="false">IF(C206="Kaltwasser",E206-D206,"")</f>
        <v/>
      </c>
      <c r="G206" s="0" t="str">
        <f aca="false">IF(C206="Warmwasser",E206-D206,"")</f>
        <v/>
      </c>
      <c r="H206" s="118" t="str">
        <f aca="false">IF(C206="ista",E206,"")</f>
        <v/>
      </c>
    </row>
    <row r="207" customFormat="false" ht="13.5" hidden="false" customHeight="false" outlineLevel="0" collapsed="false">
      <c r="A207" s="10" t="n">
        <v>620007519</v>
      </c>
      <c r="B207" s="10" t="n">
        <v>10</v>
      </c>
      <c r="C207" s="10" t="n">
        <v>13</v>
      </c>
      <c r="D207" s="10" t="n">
        <v>46</v>
      </c>
      <c r="E207" s="0" t="n">
        <f aca="false">IFERROR(VLOOKUP(A207,'Ablesung ista &amp; Wasser'!E:E,1,0),"Nicht vorhanden")</f>
        <v>620007519</v>
      </c>
      <c r="F207" s="0" t="str">
        <f aca="false">IF(C207="Kaltwasser",E207-D207,"")</f>
        <v/>
      </c>
      <c r="G207" s="0" t="str">
        <f aca="false">IF(C207="Warmwasser",E207-D207,"")</f>
        <v/>
      </c>
      <c r="H207" s="118" t="str">
        <f aca="false">IF(C207="ista",E207,"")</f>
        <v/>
      </c>
    </row>
    <row r="208" customFormat="false" ht="13.5" hidden="false" customHeight="false" outlineLevel="0" collapsed="false">
      <c r="A208" s="10" t="n">
        <v>16201334</v>
      </c>
      <c r="B208" s="10" t="n">
        <v>24.61</v>
      </c>
      <c r="C208" s="10" t="n">
        <v>35.569</v>
      </c>
      <c r="D208" s="10" t="n">
        <v>49.403</v>
      </c>
      <c r="E208" s="0" t="n">
        <f aca="false">IFERROR(VLOOKUP(A208,'Ablesung ista &amp; Wasser'!E:E,1,0),"Nicht vorhanden")</f>
        <v>16201334</v>
      </c>
      <c r="F208" s="0" t="str">
        <f aca="false">IF(C208="Kaltwasser",E208-D208,"")</f>
        <v/>
      </c>
      <c r="G208" s="0" t="str">
        <f aca="false">IF(C208="Warmwasser",E208-D208,"")</f>
        <v/>
      </c>
      <c r="H208" s="118" t="str">
        <f aca="false">IF(C208="ista",E208,"")</f>
        <v/>
      </c>
    </row>
    <row r="209" customFormat="false" ht="13.5" hidden="false" customHeight="false" outlineLevel="0" collapsed="false">
      <c r="A209" s="10" t="n">
        <v>15990182</v>
      </c>
      <c r="B209" s="10" t="n">
        <v>36.526</v>
      </c>
      <c r="C209" s="10" t="n">
        <v>60.274</v>
      </c>
      <c r="D209" s="10" t="n">
        <v>85.095</v>
      </c>
      <c r="E209" s="0" t="n">
        <f aca="false">IFERROR(VLOOKUP(A209,'Ablesung ista &amp; Wasser'!E:E,1,0),"Nicht vorhanden")</f>
        <v>15990182</v>
      </c>
      <c r="F209" s="0" t="str">
        <f aca="false">IF(C209="Kaltwasser",E209-D209,"")</f>
        <v/>
      </c>
      <c r="G209" s="0" t="str">
        <f aca="false">IF(C209="Warmwasser",E209-D209,"")</f>
        <v/>
      </c>
      <c r="H209" s="118" t="str">
        <f aca="false">IF(C209="ista",E209,"")</f>
        <v/>
      </c>
    </row>
    <row r="210" customFormat="false" ht="13.5" hidden="false" customHeight="false" outlineLevel="0" collapsed="false">
      <c r="A210" s="10" t="n">
        <v>16201337</v>
      </c>
      <c r="B210" s="10" t="n">
        <v>13.975</v>
      </c>
      <c r="C210" s="10" t="n">
        <v>24.581</v>
      </c>
      <c r="D210" s="10" t="n">
        <v>35.581</v>
      </c>
      <c r="E210" s="0" t="n">
        <f aca="false">IFERROR(VLOOKUP(A210,'Ablesung ista &amp; Wasser'!E:E,1,0),"Nicht vorhanden")</f>
        <v>16201337</v>
      </c>
      <c r="F210" s="0" t="str">
        <f aca="false">IF(C210="Kaltwasser",E210-D210,"")</f>
        <v/>
      </c>
      <c r="G210" s="0" t="str">
        <f aca="false">IF(C210="Warmwasser",E210-D210,"")</f>
        <v/>
      </c>
      <c r="H210" s="118" t="str">
        <f aca="false">IF(C210="ista",E210,"")</f>
        <v/>
      </c>
    </row>
    <row r="211" customFormat="false" ht="13.5" hidden="false" customHeight="false" outlineLevel="0" collapsed="false">
      <c r="A211" s="10" t="n">
        <v>16201336</v>
      </c>
      <c r="B211" s="10" t="n">
        <v>64.926</v>
      </c>
      <c r="C211" s="10" t="n">
        <v>96.601</v>
      </c>
      <c r="D211" s="10" t="n">
        <v>158.869</v>
      </c>
      <c r="E211" s="0" t="n">
        <f aca="false">IFERROR(VLOOKUP(A211,'Ablesung ista &amp; Wasser'!E:E,1,0),"Nicht vorhanden")</f>
        <v>16201336</v>
      </c>
      <c r="F211" s="0" t="str">
        <f aca="false">IF(C211="Kaltwasser",E211-D211,"")</f>
        <v/>
      </c>
      <c r="G211" s="0" t="str">
        <f aca="false">IF(C211="Warmwasser",E211-D211,"")</f>
        <v/>
      </c>
      <c r="H211" s="118" t="str">
        <f aca="false">IF(C211="ista",E211,"")</f>
        <v/>
      </c>
    </row>
    <row r="212" customFormat="false" ht="13.5" hidden="false" customHeight="false" outlineLevel="0" collapsed="false">
      <c r="A212" s="10" t="n">
        <v>16160136</v>
      </c>
      <c r="B212" s="10" t="n">
        <v>12.998</v>
      </c>
      <c r="C212" s="10" t="n">
        <v>18.058</v>
      </c>
      <c r="D212" s="10" t="n">
        <v>23.7</v>
      </c>
      <c r="E212" s="0" t="n">
        <f aca="false">IFERROR(VLOOKUP(A212,'Ablesung ista &amp; Wasser'!E:E,1,0),"Nicht vorhanden")</f>
        <v>16160136</v>
      </c>
      <c r="F212" s="0" t="str">
        <f aca="false">IF(C212="Kaltwasser",E212-D212,"")</f>
        <v/>
      </c>
      <c r="G212" s="0" t="str">
        <f aca="false">IF(C212="Warmwasser",E212-D212,"")</f>
        <v/>
      </c>
      <c r="H212" s="118" t="str">
        <f aca="false">IF(C212="ista",E212,"")</f>
        <v/>
      </c>
    </row>
    <row r="213" customFormat="false" ht="13.5" hidden="false" customHeight="false" outlineLevel="0" collapsed="false">
      <c r="A213" s="10" t="n">
        <v>16129391</v>
      </c>
      <c r="B213" s="10" t="n">
        <v>16.536</v>
      </c>
      <c r="C213" s="10" t="n">
        <v>29.306</v>
      </c>
      <c r="D213" s="10" t="n">
        <v>43.872</v>
      </c>
      <c r="E213" s="0" t="n">
        <f aca="false">IFERROR(VLOOKUP(A213,'Ablesung ista &amp; Wasser'!E:E,1,0),"Nicht vorhanden")</f>
        <v>16129391</v>
      </c>
      <c r="F213" s="0" t="str">
        <f aca="false">IF(C213="Kaltwasser",E213-D213,"")</f>
        <v/>
      </c>
      <c r="G213" s="0" t="str">
        <f aca="false">IF(C213="Warmwasser",E213-D213,"")</f>
        <v/>
      </c>
      <c r="H213" s="118" t="str">
        <f aca="false">IF(C213="ista",E213,"")</f>
        <v/>
      </c>
    </row>
    <row r="214" customFormat="false" ht="13.5" hidden="false" customHeight="false" outlineLevel="0" collapsed="false">
      <c r="A214" s="10" t="n">
        <v>16160728</v>
      </c>
      <c r="B214" s="10" t="n">
        <v>1.625</v>
      </c>
      <c r="C214" s="10" t="n">
        <v>3.368</v>
      </c>
      <c r="D214" s="10" t="n">
        <v>4.944</v>
      </c>
      <c r="E214" s="0" t="n">
        <f aca="false">IFERROR(VLOOKUP(A214,'Ablesung ista &amp; Wasser'!E:E,1,0),"Nicht vorhanden")</f>
        <v>16160728</v>
      </c>
      <c r="F214" s="0" t="str">
        <f aca="false">IF(C214="Kaltwasser",E214-D214,"")</f>
        <v/>
      </c>
      <c r="G214" s="0" t="str">
        <f aca="false">IF(C214="Warmwasser",E214-D214,"")</f>
        <v/>
      </c>
      <c r="H214" s="118" t="str">
        <f aca="false">IF(C214="ista",E214,"")</f>
        <v/>
      </c>
    </row>
    <row r="215" customFormat="false" ht="13.5" hidden="false" customHeight="false" outlineLevel="0" collapsed="false">
      <c r="A215" s="10" t="n">
        <v>16160723</v>
      </c>
      <c r="B215" s="10" t="n">
        <v>30.808</v>
      </c>
      <c r="C215" s="10" t="n">
        <v>44.478</v>
      </c>
      <c r="D215" s="10" t="n">
        <v>61.832</v>
      </c>
      <c r="E215" s="0" t="n">
        <f aca="false">IFERROR(VLOOKUP(A215,'Ablesung ista &amp; Wasser'!E:E,1,0),"Nicht vorhanden")</f>
        <v>16160723</v>
      </c>
      <c r="F215" s="0" t="str">
        <f aca="false">IF(C215="Kaltwasser",E215-D215,"")</f>
        <v/>
      </c>
      <c r="G215" s="0" t="str">
        <f aca="false">IF(C215="Warmwasser",E215-D215,"")</f>
        <v/>
      </c>
      <c r="H215" s="118" t="str">
        <f aca="false">IF(C215="ista",E215,"")</f>
        <v/>
      </c>
    </row>
    <row r="216" customFormat="false" ht="13.5" hidden="false" customHeight="false" outlineLevel="0" collapsed="false">
      <c r="A216" s="10" t="n">
        <v>548619801</v>
      </c>
      <c r="B216" s="10" t="n">
        <v>485</v>
      </c>
      <c r="C216" s="10" t="n">
        <v>486</v>
      </c>
      <c r="D216" s="10" t="n">
        <v>490</v>
      </c>
      <c r="E216" s="0" t="n">
        <f aca="false">IFERROR(VLOOKUP(A216,'Ablesung ista &amp; Wasser'!E:E,1,0),"Nicht vorhanden")</f>
        <v>548619801</v>
      </c>
      <c r="F216" s="0" t="str">
        <f aca="false">IF(C216="Kaltwasser",E216-D216,"")</f>
        <v/>
      </c>
      <c r="G216" s="0" t="str">
        <f aca="false">IF(C216="Warmwasser",E216-D216,"")</f>
        <v/>
      </c>
      <c r="H216" s="118" t="str">
        <f aca="false">IF(C216="ista",E216,"")</f>
        <v/>
      </c>
    </row>
    <row r="217" customFormat="false" ht="13.5" hidden="false" customHeight="false" outlineLevel="0" collapsed="false">
      <c r="A217" s="10" t="n">
        <v>548619627</v>
      </c>
      <c r="B217" s="10" t="n">
        <v>358</v>
      </c>
      <c r="C217" s="10" t="n">
        <v>482</v>
      </c>
      <c r="D217" s="10" t="n">
        <v>483</v>
      </c>
      <c r="E217" s="0" t="n">
        <f aca="false">IFERROR(VLOOKUP(A217,'Ablesung ista &amp; Wasser'!E:E,1,0),"Nicht vorhanden")</f>
        <v>548619627</v>
      </c>
      <c r="F217" s="0" t="str">
        <f aca="false">IF(C217="Kaltwasser",E217-D217,"")</f>
        <v/>
      </c>
      <c r="G217" s="0" t="str">
        <f aca="false">IF(C217="Warmwasser",E217-D217,"")</f>
        <v/>
      </c>
      <c r="H217" s="118" t="str">
        <f aca="false">IF(C217="ista",E217,"")</f>
        <v/>
      </c>
    </row>
    <row r="218" customFormat="false" ht="13.5" hidden="false" customHeight="false" outlineLevel="0" collapsed="false">
      <c r="A218" s="10" t="n">
        <v>548619764</v>
      </c>
      <c r="B218" s="10" t="n">
        <v>10</v>
      </c>
      <c r="C218" s="10" t="n">
        <v>0</v>
      </c>
      <c r="D218" s="10" t="n">
        <v>0</v>
      </c>
      <c r="E218" s="0" t="n">
        <f aca="false">IFERROR(VLOOKUP(A218,'Ablesung ista &amp; Wasser'!E:E,1,0),"Nicht vorhanden")</f>
        <v>548619764</v>
      </c>
      <c r="F218" s="0" t="str">
        <f aca="false">IF(C218="Kaltwasser",E218-D218,"")</f>
        <v/>
      </c>
      <c r="G218" s="0" t="str">
        <f aca="false">IF(C218="Warmwasser",E218-D218,"")</f>
        <v/>
      </c>
      <c r="H218" s="118" t="str">
        <f aca="false">IF(C218="ista",E218,"")</f>
        <v/>
      </c>
    </row>
    <row r="219" customFormat="false" ht="13.5" hidden="false" customHeight="false" outlineLevel="0" collapsed="false">
      <c r="A219" s="10" t="n">
        <v>16200461</v>
      </c>
      <c r="B219" s="10" t="n">
        <v>19.788</v>
      </c>
      <c r="C219" s="10" t="n">
        <v>34.686</v>
      </c>
      <c r="D219" s="10" t="n">
        <v>50.965</v>
      </c>
      <c r="E219" s="0" t="n">
        <f aca="false">IFERROR(VLOOKUP(A219,'Ablesung ista &amp; Wasser'!E:E,1,0),"Nicht vorhanden")</f>
        <v>16200461</v>
      </c>
      <c r="F219" s="0" t="str">
        <f aca="false">IF(C219="Kaltwasser",E219-D219,"")</f>
        <v/>
      </c>
      <c r="G219" s="0" t="str">
        <f aca="false">IF(C219="Warmwasser",E219-D219,"")</f>
        <v/>
      </c>
      <c r="H219" s="118" t="str">
        <f aca="false">IF(C219="ista",E219,"")</f>
        <v/>
      </c>
    </row>
    <row r="220" customFormat="false" ht="13.5" hidden="false" customHeight="false" outlineLevel="0" collapsed="false">
      <c r="A220" s="10" t="n">
        <v>16160968</v>
      </c>
      <c r="B220" s="10" t="n">
        <v>6.523</v>
      </c>
      <c r="C220" s="10" t="n">
        <v>12.203</v>
      </c>
      <c r="D220" s="10" t="n">
        <v>18.434</v>
      </c>
      <c r="E220" s="0" t="n">
        <f aca="false">IFERROR(VLOOKUP(A220,'Ablesung ista &amp; Wasser'!E:E,1,0),"Nicht vorhanden")</f>
        <v>16160968</v>
      </c>
      <c r="F220" s="0" t="str">
        <f aca="false">IF(C220="Kaltwasser",E220-D220,"")</f>
        <v/>
      </c>
      <c r="G220" s="0" t="str">
        <f aca="false">IF(C220="Warmwasser",E220-D220,"")</f>
        <v/>
      </c>
      <c r="H220" s="118" t="str">
        <f aca="false">IF(C220="ista",E220,"")</f>
        <v/>
      </c>
    </row>
    <row r="221" customFormat="false" ht="13.5" hidden="false" customHeight="false" outlineLevel="0" collapsed="false">
      <c r="A221" s="10" t="n">
        <v>548619955</v>
      </c>
      <c r="B221" s="10" t="n">
        <v>553</v>
      </c>
      <c r="C221" s="10" t="n">
        <v>79</v>
      </c>
      <c r="D221" s="10" t="n">
        <v>60</v>
      </c>
      <c r="E221" s="0" t="n">
        <f aca="false">IFERROR(VLOOKUP(A221,'Ablesung ista &amp; Wasser'!E:E,1,0),"Nicht vorhanden")</f>
        <v>548619955</v>
      </c>
      <c r="F221" s="0" t="str">
        <f aca="false">IF(C221="Kaltwasser",E221-D221,"")</f>
        <v/>
      </c>
      <c r="G221" s="0" t="str">
        <f aca="false">IF(C221="Warmwasser",E221-D221,"")</f>
        <v/>
      </c>
      <c r="H221" s="118" t="str">
        <f aca="false">IF(C221="ista",E221,"")</f>
        <v/>
      </c>
    </row>
    <row r="222" customFormat="false" ht="13.5" hidden="false" customHeight="false" outlineLevel="0" collapsed="false">
      <c r="A222" s="10" t="n">
        <v>548620715</v>
      </c>
      <c r="B222" s="10" t="n">
        <v>396</v>
      </c>
      <c r="C222" s="10" t="n">
        <v>896</v>
      </c>
      <c r="D222" s="10" t="n">
        <v>809</v>
      </c>
      <c r="E222" s="0" t="n">
        <f aca="false">IFERROR(VLOOKUP(A222,'Ablesung ista &amp; Wasser'!E:E,1,0),"Nicht vorhanden")</f>
        <v>548620715</v>
      </c>
      <c r="F222" s="0" t="str">
        <f aca="false">IF(C222="Kaltwasser",E222-D222,"")</f>
        <v/>
      </c>
      <c r="G222" s="0" t="str">
        <f aca="false">IF(C222="Warmwasser",E222-D222,"")</f>
        <v/>
      </c>
      <c r="H222" s="118" t="str">
        <f aca="false">IF(C222="ista",E222,"")</f>
        <v/>
      </c>
    </row>
    <row r="223" customFormat="false" ht="13.5" hidden="false" customHeight="false" outlineLevel="0" collapsed="false">
      <c r="A223" s="10" t="n">
        <v>607269763</v>
      </c>
      <c r="B223" s="10" t="n">
        <v>288</v>
      </c>
      <c r="C223" s="10" t="n">
        <v>332</v>
      </c>
      <c r="D223" s="10" t="n">
        <v>587</v>
      </c>
      <c r="E223" s="0" t="n">
        <f aca="false">IFERROR(VLOOKUP(A223,'Ablesung ista &amp; Wasser'!E:E,1,0),"Nicht vorhanden")</f>
        <v>607269763</v>
      </c>
      <c r="F223" s="0" t="str">
        <f aca="false">IF(C223="Kaltwasser",E223-D223,"")</f>
        <v/>
      </c>
      <c r="G223" s="0" t="str">
        <f aca="false">IF(C223="Warmwasser",E223-D223,"")</f>
        <v/>
      </c>
      <c r="H223" s="118" t="str">
        <f aca="false">IF(C223="ista",E223,"")</f>
        <v/>
      </c>
    </row>
    <row r="224" customFormat="false" ht="13.5" hidden="false" customHeight="false" outlineLevel="0" collapsed="false">
      <c r="A224" s="10" t="n">
        <v>16128918</v>
      </c>
      <c r="B224" s="10" t="n">
        <v>50.87</v>
      </c>
      <c r="C224" s="10" t="n">
        <v>80.8</v>
      </c>
      <c r="D224" s="10" t="n">
        <v>106.56</v>
      </c>
      <c r="E224" s="0" t="n">
        <f aca="false">IFERROR(VLOOKUP(A224,'Ablesung ista &amp; Wasser'!E:E,1,0),"Nicht vorhanden")</f>
        <v>16128918</v>
      </c>
      <c r="F224" s="0" t="str">
        <f aca="false">IF(C224="Kaltwasser",E224-D224,"")</f>
        <v/>
      </c>
      <c r="G224" s="0" t="str">
        <f aca="false">IF(C224="Warmwasser",E224-D224,"")</f>
        <v/>
      </c>
      <c r="H224" s="118" t="str">
        <f aca="false">IF(C224="ista",E224,"")</f>
        <v/>
      </c>
    </row>
    <row r="225" customFormat="false" ht="13.5" hidden="false" customHeight="false" outlineLevel="0" collapsed="false">
      <c r="A225" s="10" t="n">
        <v>15997866</v>
      </c>
      <c r="B225" s="10" t="n">
        <v>21.19</v>
      </c>
      <c r="C225" s="10" t="n">
        <v>35</v>
      </c>
      <c r="D225" s="10" t="n">
        <v>48.27</v>
      </c>
      <c r="E225" s="0" t="n">
        <f aca="false">IFERROR(VLOOKUP(A225,'Ablesung ista &amp; Wasser'!E:E,1,0),"Nicht vorhanden")</f>
        <v>15997866</v>
      </c>
      <c r="F225" s="0" t="str">
        <f aca="false">IF(C225="Kaltwasser",E225-D225,"")</f>
        <v/>
      </c>
      <c r="G225" s="0" t="str">
        <f aca="false">IF(C225="Warmwasser",E225-D225,"")</f>
        <v/>
      </c>
      <c r="H225" s="118" t="str">
        <f aca="false">IF(C225="ista",E225,"")</f>
        <v/>
      </c>
    </row>
    <row r="226" customFormat="false" ht="13.5" hidden="false" customHeight="false" outlineLevel="0" collapsed="false">
      <c r="A226" s="10" t="n">
        <v>548619665</v>
      </c>
      <c r="B226" s="10" t="n">
        <v>1871</v>
      </c>
      <c r="C226" s="10" t="n">
        <v>1986</v>
      </c>
      <c r="D226" s="10" t="n">
        <v>2320</v>
      </c>
      <c r="E226" s="0" t="n">
        <f aca="false">IFERROR(VLOOKUP(A226,'Ablesung ista &amp; Wasser'!E:E,1,0),"Nicht vorhanden")</f>
        <v>548619665</v>
      </c>
      <c r="F226" s="0" t="str">
        <f aca="false">IF(C226="Kaltwasser",E226-D226,"")</f>
        <v/>
      </c>
      <c r="G226" s="0" t="str">
        <f aca="false">IF(C226="Warmwasser",E226-D226,"")</f>
        <v/>
      </c>
      <c r="H226" s="118" t="str">
        <f aca="false">IF(C226="ista",E226,"")</f>
        <v/>
      </c>
    </row>
    <row r="227" customFormat="false" ht="13.5" hidden="false" customHeight="false" outlineLevel="0" collapsed="false">
      <c r="A227" s="10" t="n">
        <v>607268391</v>
      </c>
      <c r="B227" s="10" t="n">
        <v>1649</v>
      </c>
      <c r="C227" s="10" t="n">
        <v>1845</v>
      </c>
      <c r="D227" s="10" t="n">
        <v>2364</v>
      </c>
      <c r="E227" s="0" t="n">
        <f aca="false">IFERROR(VLOOKUP(A227,'Ablesung ista &amp; Wasser'!E:E,1,0),"Nicht vorhanden")</f>
        <v>607268391</v>
      </c>
      <c r="F227" s="0" t="str">
        <f aca="false">IF(C227="Kaltwasser",E227-D227,"")</f>
        <v/>
      </c>
      <c r="G227" s="0" t="str">
        <f aca="false">IF(C227="Warmwasser",E227-D227,"")</f>
        <v/>
      </c>
      <c r="H227" s="118" t="str">
        <f aca="false">IF(C227="ista",E227,"")</f>
        <v/>
      </c>
    </row>
    <row r="228" customFormat="false" ht="13.5" hidden="false" customHeight="false" outlineLevel="0" collapsed="false">
      <c r="A228" s="10" t="n">
        <v>607268698</v>
      </c>
      <c r="B228" s="10" t="n">
        <v>1471</v>
      </c>
      <c r="C228" s="10" t="n">
        <v>1984</v>
      </c>
      <c r="D228" s="10" t="n">
        <v>2545</v>
      </c>
      <c r="E228" s="0" t="n">
        <f aca="false">IFERROR(VLOOKUP(A228,'Ablesung ista &amp; Wasser'!E:E,1,0),"Nicht vorhanden")</f>
        <v>607268698</v>
      </c>
      <c r="F228" s="0" t="str">
        <f aca="false">IF(C228="Kaltwasser",E228-D228,"")</f>
        <v/>
      </c>
      <c r="G228" s="0" t="str">
        <f aca="false">IF(C228="Warmwasser",E228-D228,"")</f>
        <v/>
      </c>
      <c r="H228" s="118" t="str">
        <f aca="false">IF(C228="ista",E228,"")</f>
        <v/>
      </c>
    </row>
    <row r="229" customFormat="false" ht="13.5" hidden="false" customHeight="false" outlineLevel="0" collapsed="false">
      <c r="A229" s="10" t="n">
        <v>607269770</v>
      </c>
      <c r="B229" s="10" t="n">
        <v>1279</v>
      </c>
      <c r="C229" s="10" t="n">
        <v>1122</v>
      </c>
      <c r="D229" s="10" t="n">
        <v>1870</v>
      </c>
      <c r="E229" s="0" t="n">
        <f aca="false">IFERROR(VLOOKUP(A229,'Ablesung ista &amp; Wasser'!E:E,1,0),"Nicht vorhanden")</f>
        <v>607269770</v>
      </c>
      <c r="F229" s="0" t="str">
        <f aca="false">IF(C229="Kaltwasser",E229-D229,"")</f>
        <v/>
      </c>
      <c r="G229" s="0" t="str">
        <f aca="false">IF(C229="Warmwasser",E229-D229,"")</f>
        <v/>
      </c>
      <c r="H229" s="118" t="str">
        <f aca="false">IF(C229="ista",E229,"")</f>
        <v/>
      </c>
    </row>
    <row r="230" customFormat="false" ht="13.5" hidden="false" customHeight="false" outlineLevel="0" collapsed="false">
      <c r="A230" s="10" t="n">
        <v>611095570</v>
      </c>
      <c r="B230" s="10" t="n">
        <v>1029</v>
      </c>
      <c r="C230" s="10" t="n">
        <v>1371</v>
      </c>
      <c r="D230" s="10" t="n">
        <v>1871</v>
      </c>
      <c r="E230" s="0" t="n">
        <f aca="false">IFERROR(VLOOKUP(A230,'Ablesung ista &amp; Wasser'!E:E,1,0),"Nicht vorhanden")</f>
        <v>611095570</v>
      </c>
      <c r="F230" s="0" t="str">
        <f aca="false">IF(C230="Kaltwasser",E230-D230,"")</f>
        <v/>
      </c>
      <c r="G230" s="0" t="str">
        <f aca="false">IF(C230="Warmwasser",E230-D230,"")</f>
        <v/>
      </c>
      <c r="H230" s="118" t="str">
        <f aca="false">IF(C230="ista",E230,"")</f>
        <v/>
      </c>
    </row>
    <row r="231" customFormat="false" ht="13.5" hidden="false" customHeight="false" outlineLevel="0" collapsed="false">
      <c r="A231" s="10" t="n">
        <v>548619641</v>
      </c>
      <c r="B231" s="10" t="n">
        <v>947</v>
      </c>
      <c r="C231" s="10" t="n">
        <v>676</v>
      </c>
      <c r="D231" s="10" t="n">
        <v>525</v>
      </c>
      <c r="E231" s="0" t="n">
        <f aca="false">IFERROR(VLOOKUP(A231,'Ablesung ista &amp; Wasser'!E:E,1,0),"Nicht vorhanden")</f>
        <v>548619641</v>
      </c>
      <c r="F231" s="0" t="str">
        <f aca="false">IF(C231="Kaltwasser",E231-D231,"")</f>
        <v/>
      </c>
      <c r="G231" s="0" t="str">
        <f aca="false">IF(C231="Warmwasser",E231-D231,"")</f>
        <v/>
      </c>
      <c r="H231" s="118" t="str">
        <f aca="false">IF(C231="ista",E231,"")</f>
        <v/>
      </c>
    </row>
    <row r="232" customFormat="false" ht="13.5" hidden="false" customHeight="false" outlineLevel="0" collapsed="false">
      <c r="A232" s="10" t="n">
        <v>548619788</v>
      </c>
      <c r="B232" s="10" t="n">
        <v>798</v>
      </c>
      <c r="C232" s="10" t="n">
        <v>977</v>
      </c>
      <c r="D232" s="10" t="n">
        <v>597</v>
      </c>
      <c r="E232" s="0" t="n">
        <f aca="false">IFERROR(VLOOKUP(A232,'Ablesung ista &amp; Wasser'!E:E,1,0),"Nicht vorhanden")</f>
        <v>548619788</v>
      </c>
      <c r="F232" s="0" t="str">
        <f aca="false">IF(C232="Kaltwasser",E232-D232,"")</f>
        <v/>
      </c>
      <c r="G232" s="0" t="str">
        <f aca="false">IF(C232="Warmwasser",E232-D232,"")</f>
        <v/>
      </c>
      <c r="H232" s="118" t="str">
        <f aca="false">IF(C232="ista",E232,"")</f>
        <v/>
      </c>
    </row>
    <row r="233" customFormat="false" ht="13.5" hidden="false" customHeight="false" outlineLevel="0" collapsed="false">
      <c r="A233" s="10" t="n">
        <v>548619740</v>
      </c>
      <c r="B233" s="10" t="n">
        <v>551</v>
      </c>
      <c r="C233" s="10" t="n">
        <v>681</v>
      </c>
      <c r="D233" s="10" t="n">
        <v>1532</v>
      </c>
      <c r="E233" s="0" t="n">
        <f aca="false">IFERROR(VLOOKUP(A233,'Ablesung ista &amp; Wasser'!E:E,1,0),"Nicht vorhanden")</f>
        <v>548619740</v>
      </c>
      <c r="F233" s="0" t="str">
        <f aca="false">IF(C233="Kaltwasser",E233-D233,"")</f>
        <v/>
      </c>
      <c r="G233" s="0" t="str">
        <f aca="false">IF(C233="Warmwasser",E233-D233,"")</f>
        <v/>
      </c>
      <c r="H233" s="118" t="str">
        <f aca="false">IF(C233="ista",E233,"")</f>
        <v/>
      </c>
    </row>
    <row r="234" customFormat="false" ht="13.5" hidden="false" customHeight="false" outlineLevel="0" collapsed="false">
      <c r="A234" s="10" t="n">
        <v>548619726</v>
      </c>
      <c r="B234" s="10" t="n">
        <v>333</v>
      </c>
      <c r="C234" s="10" t="n">
        <v>1155</v>
      </c>
      <c r="D234" s="10" t="n">
        <v>1092</v>
      </c>
      <c r="E234" s="0" t="n">
        <f aca="false">IFERROR(VLOOKUP(A234,'Ablesung ista &amp; Wasser'!E:E,1,0),"Nicht vorhanden")</f>
        <v>548619726</v>
      </c>
      <c r="F234" s="0" t="str">
        <f aca="false">IF(C234="Kaltwasser",E234-D234,"")</f>
        <v/>
      </c>
      <c r="G234" s="0" t="str">
        <f aca="false">IF(C234="Warmwasser",E234-D234,"")</f>
        <v/>
      </c>
      <c r="H234" s="118" t="str">
        <f aca="false">IF(C234="ista",E234,"")</f>
        <v/>
      </c>
    </row>
    <row r="235" customFormat="false" ht="13.5" hidden="false" customHeight="false" outlineLevel="0" collapsed="false">
      <c r="A235" s="10" t="n">
        <v>607269695</v>
      </c>
      <c r="B235" s="10" t="n">
        <v>323</v>
      </c>
      <c r="C235" s="10" t="n">
        <v>1494</v>
      </c>
      <c r="D235" s="10" t="n">
        <v>1760</v>
      </c>
      <c r="E235" s="0" t="n">
        <f aca="false">IFERROR(VLOOKUP(A235,'Ablesung ista &amp; Wasser'!E:E,1,0),"Nicht vorhanden")</f>
        <v>607269695</v>
      </c>
      <c r="F235" s="0" t="str">
        <f aca="false">IF(C235="Kaltwasser",E235-D235,"")</f>
        <v/>
      </c>
      <c r="G235" s="0" t="str">
        <f aca="false">IF(C235="Warmwasser",E235-D235,"")</f>
        <v/>
      </c>
      <c r="H235" s="118" t="str">
        <f aca="false">IF(C235="ista",E235,"")</f>
        <v/>
      </c>
    </row>
    <row r="236" customFormat="false" ht="13.5" hidden="false" customHeight="false" outlineLevel="0" collapsed="false">
      <c r="A236" s="10" t="n">
        <v>16201332</v>
      </c>
      <c r="B236" s="10" t="n">
        <v>7.106</v>
      </c>
      <c r="C236" s="10" t="n">
        <v>14.631</v>
      </c>
      <c r="D236" s="10" t="n">
        <v>24.711</v>
      </c>
      <c r="E236" s="0" t="n">
        <f aca="false">IFERROR(VLOOKUP(A236,'Ablesung ista &amp; Wasser'!E:E,1,0),"Nicht vorhanden")</f>
        <v>16201332</v>
      </c>
      <c r="F236" s="0" t="str">
        <f aca="false">IF(C236="Kaltwasser",E236-D236,"")</f>
        <v/>
      </c>
      <c r="G236" s="0" t="str">
        <f aca="false">IF(C236="Warmwasser",E236-D236,"")</f>
        <v/>
      </c>
      <c r="H236" s="118" t="str">
        <f aca="false">IF(C236="ista",E236,"")</f>
        <v/>
      </c>
    </row>
    <row r="237" customFormat="false" ht="13.5" hidden="false" customHeight="false" outlineLevel="0" collapsed="false">
      <c r="A237" s="10" t="n">
        <v>16201330</v>
      </c>
      <c r="B237" s="10" t="n">
        <v>18.974</v>
      </c>
      <c r="C237" s="10" t="n">
        <v>37.192</v>
      </c>
      <c r="D237" s="10" t="n">
        <v>56.904</v>
      </c>
      <c r="E237" s="0" t="n">
        <f aca="false">IFERROR(VLOOKUP(A237,'Ablesung ista &amp; Wasser'!E:E,1,0),"Nicht vorhanden")</f>
        <v>16201330</v>
      </c>
      <c r="F237" s="0" t="str">
        <f aca="false">IF(C237="Kaltwasser",E237-D237,"")</f>
        <v/>
      </c>
      <c r="G237" s="0" t="str">
        <f aca="false">IF(C237="Warmwasser",E237-D237,"")</f>
        <v/>
      </c>
      <c r="H237" s="118" t="str">
        <f aca="false">IF(C237="ista",E237,"")</f>
        <v/>
      </c>
    </row>
    <row r="238" customFormat="false" ht="13.5" hidden="false" customHeight="false" outlineLevel="0" collapsed="false">
      <c r="A238" s="10" t="n">
        <v>16160299</v>
      </c>
      <c r="B238" s="10" t="n">
        <v>4.241</v>
      </c>
      <c r="C238" s="10" t="n">
        <v>8.814</v>
      </c>
      <c r="D238" s="10" t="n">
        <v>13.808</v>
      </c>
      <c r="E238" s="0" t="n">
        <f aca="false">IFERROR(VLOOKUP(A238,'Ablesung ista &amp; Wasser'!E:E,1,0),"Nicht vorhanden")</f>
        <v>16160299</v>
      </c>
      <c r="F238" s="0" t="str">
        <f aca="false">IF(C238="Kaltwasser",E238-D238,"")</f>
        <v/>
      </c>
      <c r="G238" s="0" t="str">
        <f aca="false">IF(C238="Warmwasser",E238-D238,"")</f>
        <v/>
      </c>
      <c r="H238" s="118" t="str">
        <f aca="false">IF(C238="ista",E238,"")</f>
        <v/>
      </c>
    </row>
    <row r="239" customFormat="false" ht="13.5" hidden="false" customHeight="false" outlineLevel="0" collapsed="false">
      <c r="A239" s="10" t="n">
        <v>16160139</v>
      </c>
      <c r="B239" s="10" t="n">
        <v>11.039</v>
      </c>
      <c r="C239" s="10" t="n">
        <v>21.656</v>
      </c>
      <c r="D239" s="10" t="n">
        <v>32.925</v>
      </c>
      <c r="E239" s="0" t="n">
        <f aca="false">IFERROR(VLOOKUP(A239,'Ablesung ista &amp; Wasser'!E:E,1,0),"Nicht vorhanden")</f>
        <v>16160139</v>
      </c>
      <c r="F239" s="0" t="str">
        <f aca="false">IF(C239="Kaltwasser",E239-D239,"")</f>
        <v/>
      </c>
      <c r="G239" s="0" t="str">
        <f aca="false">IF(C239="Warmwasser",E239-D239,"")</f>
        <v/>
      </c>
      <c r="H239" s="118" t="str">
        <f aca="false">IF(C239="ista",E239,"")</f>
        <v/>
      </c>
    </row>
    <row r="240" customFormat="false" ht="13.5" hidden="false" customHeight="false" outlineLevel="0" collapsed="false">
      <c r="A240" s="10" t="n">
        <v>602492302</v>
      </c>
      <c r="B240" s="10" t="n">
        <v>3168</v>
      </c>
      <c r="C240" s="10" t="n">
        <v>3042</v>
      </c>
      <c r="D240" s="10" t="n">
        <v>3468</v>
      </c>
      <c r="E240" s="0" t="n">
        <f aca="false">IFERROR(VLOOKUP(A240,'Ablesung ista &amp; Wasser'!E:E,1,0),"Nicht vorhanden")</f>
        <v>602492302</v>
      </c>
      <c r="F240" s="0" t="str">
        <f aca="false">IF(C240="Kaltwasser",E240-D240,"")</f>
        <v/>
      </c>
      <c r="G240" s="0" t="str">
        <f aca="false">IF(C240="Warmwasser",E240-D240,"")</f>
        <v/>
      </c>
      <c r="H240" s="118" t="str">
        <f aca="false">IF(C240="ista",E240,"")</f>
        <v/>
      </c>
    </row>
    <row r="241" customFormat="false" ht="13.5" hidden="false" customHeight="false" outlineLevel="0" collapsed="false">
      <c r="A241" s="10" t="n">
        <v>602492296</v>
      </c>
      <c r="B241" s="10" t="n">
        <v>2585</v>
      </c>
      <c r="C241" s="10" t="n">
        <v>2642</v>
      </c>
      <c r="D241" s="10" t="n">
        <v>2707</v>
      </c>
      <c r="E241" s="0" t="n">
        <f aca="false">IFERROR(VLOOKUP(A241,'Ablesung ista &amp; Wasser'!E:E,1,0),"Nicht vorhanden")</f>
        <v>602492296</v>
      </c>
      <c r="F241" s="0" t="str">
        <f aca="false">IF(C241="Kaltwasser",E241-D241,"")</f>
        <v/>
      </c>
      <c r="G241" s="0" t="str">
        <f aca="false">IF(C241="Warmwasser",E241-D241,"")</f>
        <v/>
      </c>
      <c r="H241" s="118" t="str">
        <f aca="false">IF(C241="ista",E241,"")</f>
        <v/>
      </c>
    </row>
    <row r="242" customFormat="false" ht="13.5" hidden="false" customHeight="false" outlineLevel="0" collapsed="false">
      <c r="A242" s="10" t="n">
        <v>602492487</v>
      </c>
      <c r="B242" s="10" t="n">
        <v>2418</v>
      </c>
      <c r="C242" s="10" t="n">
        <v>2295</v>
      </c>
      <c r="D242" s="10" t="n">
        <v>2296</v>
      </c>
      <c r="E242" s="0" t="n">
        <f aca="false">IFERROR(VLOOKUP(A242,'Ablesung ista &amp; Wasser'!E:E,1,0),"Nicht vorhanden")</f>
        <v>602492487</v>
      </c>
      <c r="F242" s="0" t="str">
        <f aca="false">IF(C242="Kaltwasser",E242-D242,"")</f>
        <v/>
      </c>
      <c r="G242" s="0" t="str">
        <f aca="false">IF(C242="Warmwasser",E242-D242,"")</f>
        <v/>
      </c>
      <c r="H242" s="118" t="str">
        <f aca="false">IF(C242="ista",E242,"")</f>
        <v/>
      </c>
    </row>
    <row r="243" customFormat="false" ht="13.5" hidden="false" customHeight="false" outlineLevel="0" collapsed="false">
      <c r="A243" s="10" t="n">
        <v>602492364</v>
      </c>
      <c r="B243" s="10" t="n">
        <v>2107</v>
      </c>
      <c r="C243" s="10" t="n">
        <v>2299</v>
      </c>
      <c r="D243" s="10" t="n">
        <v>2416</v>
      </c>
      <c r="E243" s="0" t="n">
        <f aca="false">IFERROR(VLOOKUP(A243,'Ablesung ista &amp; Wasser'!E:E,1,0),"Nicht vorhanden")</f>
        <v>602492364</v>
      </c>
      <c r="F243" s="0" t="str">
        <f aca="false">IF(C243="Kaltwasser",E243-D243,"")</f>
        <v/>
      </c>
      <c r="G243" s="0" t="str">
        <f aca="false">IF(C243="Warmwasser",E243-D243,"")</f>
        <v/>
      </c>
      <c r="H243" s="118" t="str">
        <f aca="false">IF(C243="ista",E243,"")</f>
        <v/>
      </c>
    </row>
    <row r="244" customFormat="false" ht="13.5" hidden="false" customHeight="false" outlineLevel="0" collapsed="false">
      <c r="A244" s="10" t="n">
        <v>602560148</v>
      </c>
      <c r="B244" s="10" t="n">
        <v>1873</v>
      </c>
      <c r="C244" s="10" t="n">
        <v>1731</v>
      </c>
      <c r="D244" s="10" t="n">
        <v>1646</v>
      </c>
      <c r="E244" s="0" t="n">
        <f aca="false">IFERROR(VLOOKUP(A244,'Ablesung ista &amp; Wasser'!E:E,1,0),"Nicht vorhanden")</f>
        <v>602560148</v>
      </c>
      <c r="F244" s="0" t="str">
        <f aca="false">IF(C244="Kaltwasser",E244-D244,"")</f>
        <v/>
      </c>
      <c r="G244" s="0" t="str">
        <f aca="false">IF(C244="Warmwasser",E244-D244,"")</f>
        <v/>
      </c>
      <c r="H244" s="118" t="str">
        <f aca="false">IF(C244="ista",E244,"")</f>
        <v/>
      </c>
    </row>
    <row r="245" customFormat="false" ht="13.5" hidden="false" customHeight="false" outlineLevel="0" collapsed="false">
      <c r="A245" s="10" t="n">
        <v>602492463</v>
      </c>
      <c r="B245" s="10" t="n">
        <v>1476</v>
      </c>
      <c r="C245" s="10" t="n">
        <v>1306</v>
      </c>
      <c r="D245" s="10" t="n">
        <v>1237</v>
      </c>
      <c r="E245" s="0" t="n">
        <f aca="false">IFERROR(VLOOKUP(A245,'Ablesung ista &amp; Wasser'!E:E,1,0),"Nicht vorhanden")</f>
        <v>602492463</v>
      </c>
      <c r="F245" s="0" t="str">
        <f aca="false">IF(C245="Kaltwasser",E245-D245,"")</f>
        <v/>
      </c>
      <c r="G245" s="0" t="str">
        <f aca="false">IF(C245="Warmwasser",E245-D245,"")</f>
        <v/>
      </c>
      <c r="H245" s="118" t="str">
        <f aca="false">IF(C245="ista",E245,"")</f>
        <v/>
      </c>
    </row>
    <row r="246" customFormat="false" ht="13.5" hidden="false" customHeight="false" outlineLevel="0" collapsed="false">
      <c r="A246" s="10" t="n">
        <v>602492326</v>
      </c>
      <c r="B246" s="10" t="n">
        <v>1251</v>
      </c>
      <c r="C246" s="10" t="n">
        <v>1517</v>
      </c>
      <c r="D246" s="10" t="n">
        <v>1330</v>
      </c>
      <c r="E246" s="0" t="n">
        <f aca="false">IFERROR(VLOOKUP(A246,'Ablesung ista &amp; Wasser'!E:E,1,0),"Nicht vorhanden")</f>
        <v>602492326</v>
      </c>
      <c r="F246" s="0" t="str">
        <f aca="false">IF(C246="Kaltwasser",E246-D246,"")</f>
        <v/>
      </c>
      <c r="G246" s="0" t="str">
        <f aca="false">IF(C246="Warmwasser",E246-D246,"")</f>
        <v/>
      </c>
      <c r="H246" s="118" t="str">
        <f aca="false">IF(C246="ista",E246,"")</f>
        <v/>
      </c>
    </row>
    <row r="247" customFormat="false" ht="13.5" hidden="false" customHeight="false" outlineLevel="0" collapsed="false">
      <c r="A247" s="10" t="n">
        <v>602560193</v>
      </c>
      <c r="B247" s="10" t="n">
        <v>739</v>
      </c>
      <c r="C247" s="10" t="n">
        <v>536</v>
      </c>
      <c r="D247" s="10" t="n">
        <v>301</v>
      </c>
      <c r="E247" s="0" t="n">
        <f aca="false">IFERROR(VLOOKUP(A247,'Ablesung ista &amp; Wasser'!E:E,1,0),"Nicht vorhanden")</f>
        <v>602560193</v>
      </c>
      <c r="F247" s="0" t="str">
        <f aca="false">IF(C247="Kaltwasser",E247-D247,"")</f>
        <v/>
      </c>
      <c r="G247" s="0" t="str">
        <f aca="false">IF(C247="Warmwasser",E247-D247,"")</f>
        <v/>
      </c>
      <c r="H247" s="118" t="str">
        <f aca="false">IF(C247="ista",E247,"")</f>
        <v/>
      </c>
    </row>
    <row r="248" customFormat="false" ht="13.5" hidden="false" customHeight="false" outlineLevel="0" collapsed="false">
      <c r="A248" s="10" t="n">
        <v>602492449</v>
      </c>
      <c r="B248" s="10" t="n">
        <v>612</v>
      </c>
      <c r="C248" s="10" t="n">
        <v>311</v>
      </c>
      <c r="D248" s="10" t="n">
        <v>542</v>
      </c>
      <c r="E248" s="0" t="n">
        <f aca="false">IFERROR(VLOOKUP(A248,'Ablesung ista &amp; Wasser'!E:E,1,0),"Nicht vorhanden")</f>
        <v>602492449</v>
      </c>
      <c r="F248" s="0" t="str">
        <f aca="false">IF(C248="Kaltwasser",E248-D248,"")</f>
        <v/>
      </c>
      <c r="G248" s="0" t="str">
        <f aca="false">IF(C248="Warmwasser",E248-D248,"")</f>
        <v/>
      </c>
      <c r="H248" s="118" t="str">
        <f aca="false">IF(C248="ista",E248,"")</f>
        <v/>
      </c>
    </row>
    <row r="249" customFormat="false" ht="13.5" hidden="false" customHeight="false" outlineLevel="0" collapsed="false">
      <c r="A249" s="10" t="n">
        <v>602492241</v>
      </c>
      <c r="B249" s="10" t="n">
        <v>373</v>
      </c>
      <c r="C249" s="10" t="n">
        <v>286</v>
      </c>
      <c r="D249" s="10" t="n">
        <v>286</v>
      </c>
      <c r="E249" s="0" t="n">
        <f aca="false">IFERROR(VLOOKUP(A249,'Ablesung ista &amp; Wasser'!E:E,1,0),"Nicht vorhanden")</f>
        <v>602492241</v>
      </c>
      <c r="F249" s="0" t="str">
        <f aca="false">IF(C249="Kaltwasser",E249-D249,"")</f>
        <v/>
      </c>
      <c r="G249" s="0" t="str">
        <f aca="false">IF(C249="Warmwasser",E249-D249,"")</f>
        <v/>
      </c>
      <c r="H249" s="118" t="str">
        <f aca="false">IF(C249="ista",E249,"")</f>
        <v/>
      </c>
    </row>
    <row r="250" customFormat="false" ht="13.5" hidden="false" customHeight="false" outlineLevel="0" collapsed="false">
      <c r="A250" s="10" t="n">
        <v>625280887</v>
      </c>
      <c r="B250" s="10" t="n">
        <v>0</v>
      </c>
      <c r="C250" s="10" t="n">
        <v>25</v>
      </c>
      <c r="D250" s="10" t="n">
        <v>1</v>
      </c>
      <c r="E250" s="0" t="n">
        <f aca="false">IFERROR(VLOOKUP(A250,'Ablesung ista &amp; Wasser'!E:E,1,0),"Nicht vorhanden")</f>
        <v>625280887</v>
      </c>
      <c r="F250" s="0" t="str">
        <f aca="false">IF(C250="Kaltwasser",E250-D250,"")</f>
        <v/>
      </c>
      <c r="G250" s="0" t="str">
        <f aca="false">IF(C250="Warmwasser",E250-D250,"")</f>
        <v/>
      </c>
      <c r="H250" s="118" t="str">
        <f aca="false">IF(C250="ista",E250,"")</f>
        <v/>
      </c>
    </row>
    <row r="251" customFormat="false" ht="13.5" hidden="false" customHeight="false" outlineLevel="0" collapsed="false">
      <c r="A251" s="10" t="n">
        <v>15990193</v>
      </c>
      <c r="B251" s="10" t="n">
        <v>31.585</v>
      </c>
      <c r="C251" s="10" t="n">
        <v>48.398</v>
      </c>
      <c r="D251" s="10" t="n">
        <v>64.763</v>
      </c>
      <c r="E251" s="0" t="n">
        <f aca="false">IFERROR(VLOOKUP(A251,'Ablesung ista &amp; Wasser'!E:E,1,0),"Nicht vorhanden")</f>
        <v>15990193</v>
      </c>
      <c r="F251" s="0" t="str">
        <f aca="false">IF(C251="Kaltwasser",E251-D251,"")</f>
        <v/>
      </c>
      <c r="G251" s="0" t="str">
        <f aca="false">IF(C251="Warmwasser",E251-D251,"")</f>
        <v/>
      </c>
      <c r="H251" s="118" t="str">
        <f aca="false">IF(C251="ista",E251,"")</f>
        <v/>
      </c>
    </row>
    <row r="252" customFormat="false" ht="13.5" hidden="false" customHeight="false" outlineLevel="0" collapsed="false">
      <c r="A252" s="10" t="n">
        <v>15990191</v>
      </c>
      <c r="B252" s="10" t="n">
        <v>79.447</v>
      </c>
      <c r="C252" s="10" t="n">
        <v>115.943</v>
      </c>
      <c r="D252" s="10" t="n">
        <v>146.816</v>
      </c>
      <c r="E252" s="0" t="n">
        <f aca="false">IFERROR(VLOOKUP(A252,'Ablesung ista &amp; Wasser'!E:E,1,0),"Nicht vorhanden")</f>
        <v>15990191</v>
      </c>
      <c r="F252" s="0" t="str">
        <f aca="false">IF(C252="Kaltwasser",E252-D252,"")</f>
        <v/>
      </c>
      <c r="G252" s="0" t="str">
        <f aca="false">IF(C252="Warmwasser",E252-D252,"")</f>
        <v/>
      </c>
      <c r="H252" s="118" t="str">
        <f aca="false">IF(C252="ista",E252,"")</f>
        <v/>
      </c>
    </row>
    <row r="253" customFormat="false" ht="13.5" hidden="false" customHeight="false" outlineLevel="0" collapsed="false">
      <c r="A253" s="10" t="n">
        <v>16075862</v>
      </c>
      <c r="B253" s="10" t="n">
        <v>15.238</v>
      </c>
      <c r="C253" s="10" t="n">
        <v>34.272</v>
      </c>
      <c r="D253" s="10" t="n">
        <v>51.538</v>
      </c>
      <c r="E253" s="0" t="n">
        <f aca="false">IFERROR(VLOOKUP(A253,'Ablesung ista &amp; Wasser'!E:E,1,0),"Nicht vorhanden")</f>
        <v>16075862</v>
      </c>
      <c r="F253" s="0" t="str">
        <f aca="false">IF(C253="Kaltwasser",E253-D253,"")</f>
        <v/>
      </c>
      <c r="G253" s="0" t="str">
        <f aca="false">IF(C253="Warmwasser",E253-D253,"")</f>
        <v/>
      </c>
      <c r="H253" s="118" t="str">
        <f aca="false">IF(C253="ista",E253,"")</f>
        <v/>
      </c>
    </row>
    <row r="254" customFormat="false" ht="13.5" hidden="false" customHeight="false" outlineLevel="0" collapsed="false">
      <c r="A254" s="10" t="n">
        <v>16129454</v>
      </c>
      <c r="B254" s="10" t="n">
        <v>13.585</v>
      </c>
      <c r="C254" s="10" t="n">
        <v>23.191</v>
      </c>
      <c r="D254" s="10" t="n">
        <v>28.812</v>
      </c>
      <c r="E254" s="0" t="n">
        <f aca="false">IFERROR(VLOOKUP(A254,'Ablesung ista &amp; Wasser'!E:E,1,0),"Nicht vorhanden")</f>
        <v>16129454</v>
      </c>
      <c r="F254" s="0" t="str">
        <f aca="false">IF(C254="Kaltwasser",E254-D254,"")</f>
        <v/>
      </c>
      <c r="G254" s="0" t="str">
        <f aca="false">IF(C254="Warmwasser",E254-D254,"")</f>
        <v/>
      </c>
      <c r="H254" s="118" t="str">
        <f aca="false">IF(C254="ista",E254,"")</f>
        <v/>
      </c>
    </row>
    <row r="255" customFormat="false" ht="13.5" hidden="false" customHeight="false" outlineLevel="0" collapsed="false">
      <c r="A255" s="10" t="n">
        <v>16129460</v>
      </c>
      <c r="B255" s="10" t="n">
        <v>30.74</v>
      </c>
      <c r="C255" s="10" t="n">
        <v>31.583</v>
      </c>
      <c r="D255" s="10" t="n">
        <v>32.294</v>
      </c>
      <c r="E255" s="0" t="n">
        <f aca="false">IFERROR(VLOOKUP(A255,'Ablesung ista &amp; Wasser'!E:E,1,0),"Nicht vorhanden")</f>
        <v>16129460</v>
      </c>
      <c r="F255" s="0" t="str">
        <f aca="false">IF(C255="Kaltwasser",E255-D255,"")</f>
        <v/>
      </c>
      <c r="G255" s="0" t="str">
        <f aca="false">IF(C255="Warmwasser",E255-D255,"")</f>
        <v/>
      </c>
      <c r="H255" s="118" t="str">
        <f aca="false">IF(C255="ista",E255,"")</f>
        <v/>
      </c>
    </row>
    <row r="256" customFormat="false" ht="13.5" hidden="false" customHeight="false" outlineLevel="0" collapsed="false">
      <c r="A256" s="10" t="n">
        <v>16160977</v>
      </c>
      <c r="B256" s="10" t="n">
        <v>3.042</v>
      </c>
      <c r="C256" s="10" t="n">
        <v>8.875</v>
      </c>
      <c r="D256" s="10" t="n">
        <v>13.622</v>
      </c>
      <c r="E256" s="0" t="n">
        <f aca="false">IFERROR(VLOOKUP(A256,'Ablesung ista &amp; Wasser'!E:E,1,0),"Nicht vorhanden")</f>
        <v>16160977</v>
      </c>
      <c r="F256" s="0" t="str">
        <f aca="false">IF(C256="Kaltwasser",E256-D256,"")</f>
        <v/>
      </c>
      <c r="G256" s="0" t="str">
        <f aca="false">IF(C256="Warmwasser",E256-D256,"")</f>
        <v/>
      </c>
      <c r="H256" s="118" t="str">
        <f aca="false">IF(C256="ista",E256,"")</f>
        <v/>
      </c>
    </row>
    <row r="257" customFormat="false" ht="13.5" hidden="false" customHeight="false" outlineLevel="0" collapsed="false">
      <c r="A257" s="10" t="n">
        <v>548619238</v>
      </c>
      <c r="B257" s="10" t="n">
        <v>1102</v>
      </c>
      <c r="C257" s="10" t="n">
        <v>1455</v>
      </c>
      <c r="D257" s="10" t="n">
        <v>1263</v>
      </c>
      <c r="E257" s="0" t="n">
        <f aca="false">IFERROR(VLOOKUP(A257,'Ablesung ista &amp; Wasser'!E:E,1,0),"Nicht vorhanden")</f>
        <v>548619238</v>
      </c>
      <c r="F257" s="0" t="str">
        <f aca="false">IF(C257="Kaltwasser",E257-D257,"")</f>
        <v/>
      </c>
      <c r="G257" s="0" t="str">
        <f aca="false">IF(C257="Warmwasser",E257-D257,"")</f>
        <v/>
      </c>
      <c r="H257" s="118" t="str">
        <f aca="false">IF(C257="ista",E257,"")</f>
        <v/>
      </c>
    </row>
    <row r="258" customFormat="false" ht="13.5" hidden="false" customHeight="false" outlineLevel="0" collapsed="false">
      <c r="A258" s="10" t="n">
        <v>607269350</v>
      </c>
      <c r="B258" s="10" t="n">
        <v>813</v>
      </c>
      <c r="C258" s="10" t="n">
        <v>1005</v>
      </c>
      <c r="D258" s="10" t="n">
        <v>810</v>
      </c>
      <c r="E258" s="0" t="n">
        <f aca="false">IFERROR(VLOOKUP(A258,'Ablesung ista &amp; Wasser'!E:E,1,0),"Nicht vorhanden")</f>
        <v>607269350</v>
      </c>
      <c r="F258" s="0" t="str">
        <f aca="false">IF(C258="Kaltwasser",E258-D258,"")</f>
        <v/>
      </c>
      <c r="G258" s="0" t="str">
        <f aca="false">IF(C258="Warmwasser",E258-D258,"")</f>
        <v/>
      </c>
      <c r="H258" s="118" t="str">
        <f aca="false">IF(C258="ista",E258,"")</f>
        <v/>
      </c>
    </row>
    <row r="259" customFormat="false" ht="13.5" hidden="false" customHeight="false" outlineLevel="0" collapsed="false">
      <c r="A259" s="10" t="n">
        <v>548619191</v>
      </c>
      <c r="B259" s="10" t="n">
        <v>781</v>
      </c>
      <c r="C259" s="10" t="n">
        <v>190</v>
      </c>
      <c r="D259" s="10" t="n">
        <v>114</v>
      </c>
      <c r="E259" s="0" t="n">
        <f aca="false">IFERROR(VLOOKUP(A259,'Ablesung ista &amp; Wasser'!E:E,1,0),"Nicht vorhanden")</f>
        <v>548619191</v>
      </c>
      <c r="F259" s="0" t="str">
        <f aca="false">IF(C259="Kaltwasser",E259-D259,"")</f>
        <v/>
      </c>
      <c r="G259" s="0" t="str">
        <f aca="false">IF(C259="Warmwasser",E259-D259,"")</f>
        <v/>
      </c>
      <c r="H259" s="118" t="str">
        <f aca="false">IF(C259="ista",E259,"")</f>
        <v/>
      </c>
    </row>
    <row r="260" customFormat="false" ht="13.5" hidden="false" customHeight="false" outlineLevel="0" collapsed="false">
      <c r="A260" s="10" t="n">
        <v>548619078</v>
      </c>
      <c r="B260" s="10" t="n">
        <v>755</v>
      </c>
      <c r="C260" s="10" t="n">
        <v>1139</v>
      </c>
      <c r="D260" s="10" t="n">
        <v>2023</v>
      </c>
      <c r="E260" s="0" t="n">
        <f aca="false">IFERROR(VLOOKUP(A260,'Ablesung ista &amp; Wasser'!E:E,1,0),"Nicht vorhanden")</f>
        <v>548619078</v>
      </c>
      <c r="F260" s="0" t="str">
        <f aca="false">IF(C260="Kaltwasser",E260-D260,"")</f>
        <v/>
      </c>
      <c r="G260" s="0" t="str">
        <f aca="false">IF(C260="Warmwasser",E260-D260,"")</f>
        <v/>
      </c>
      <c r="H260" s="118" t="str">
        <f aca="false">IF(C260="ista",E260,"")</f>
        <v/>
      </c>
    </row>
    <row r="261" customFormat="false" ht="13.5" hidden="false" customHeight="false" outlineLevel="0" collapsed="false">
      <c r="A261" s="10" t="n">
        <v>548619177</v>
      </c>
      <c r="B261" s="10" t="n">
        <v>718</v>
      </c>
      <c r="C261" s="10" t="n">
        <v>245</v>
      </c>
      <c r="D261" s="10" t="n">
        <v>321</v>
      </c>
      <c r="E261" s="0" t="n">
        <f aca="false">IFERROR(VLOOKUP(A261,'Ablesung ista &amp; Wasser'!E:E,1,0),"Nicht vorhanden")</f>
        <v>548619177</v>
      </c>
      <c r="F261" s="0" t="str">
        <f aca="false">IF(C261="Kaltwasser",E261-D261,"")</f>
        <v/>
      </c>
      <c r="G261" s="0" t="str">
        <f aca="false">IF(C261="Warmwasser",E261-D261,"")</f>
        <v/>
      </c>
      <c r="H261" s="118" t="str">
        <f aca="false">IF(C261="ista",E261,"")</f>
        <v/>
      </c>
    </row>
    <row r="262" customFormat="false" ht="13.5" hidden="false" customHeight="false" outlineLevel="0" collapsed="false">
      <c r="A262" s="10" t="n">
        <v>548619139</v>
      </c>
      <c r="B262" s="10" t="n">
        <v>634</v>
      </c>
      <c r="C262" s="10" t="n">
        <v>542</v>
      </c>
      <c r="D262" s="10" t="n">
        <v>1142</v>
      </c>
      <c r="E262" s="0" t="n">
        <f aca="false">IFERROR(VLOOKUP(A262,'Ablesung ista &amp; Wasser'!E:E,1,0),"Nicht vorhanden")</f>
        <v>548619139</v>
      </c>
      <c r="F262" s="0" t="str">
        <f aca="false">IF(C262="Kaltwasser",E262-D262,"")</f>
        <v/>
      </c>
      <c r="G262" s="0" t="str">
        <f aca="false">IF(C262="Warmwasser",E262-D262,"")</f>
        <v/>
      </c>
      <c r="H262" s="118" t="str">
        <f aca="false">IF(C262="ista",E262,"")</f>
        <v/>
      </c>
    </row>
    <row r="263" customFormat="false" ht="13.5" hidden="false" customHeight="false" outlineLevel="0" collapsed="false">
      <c r="A263" s="10" t="n">
        <v>548619153</v>
      </c>
      <c r="B263" s="10" t="n">
        <v>389</v>
      </c>
      <c r="C263" s="10" t="n">
        <v>480</v>
      </c>
      <c r="D263" s="10" t="n">
        <v>806</v>
      </c>
      <c r="E263" s="0" t="n">
        <f aca="false">IFERROR(VLOOKUP(A263,'Ablesung ista &amp; Wasser'!E:E,1,0),"Nicht vorhanden")</f>
        <v>548619153</v>
      </c>
      <c r="F263" s="0" t="str">
        <f aca="false">IF(C263="Kaltwasser",E263-D263,"")</f>
        <v/>
      </c>
      <c r="G263" s="0" t="str">
        <f aca="false">IF(C263="Warmwasser",E263-D263,"")</f>
        <v/>
      </c>
      <c r="H263" s="118" t="str">
        <f aca="false">IF(C263="ista",E263,"")</f>
        <v/>
      </c>
    </row>
    <row r="264" customFormat="false" ht="13.5" hidden="false" customHeight="false" outlineLevel="0" collapsed="false">
      <c r="A264" s="10" t="n">
        <v>607269879</v>
      </c>
      <c r="B264" s="10" t="n">
        <v>265</v>
      </c>
      <c r="C264" s="10" t="n">
        <v>214</v>
      </c>
      <c r="D264" s="10" t="n">
        <v>130</v>
      </c>
      <c r="E264" s="0" t="n">
        <f aca="false">IFERROR(VLOOKUP(A264,'Ablesung ista &amp; Wasser'!E:E,1,0),"Nicht vorhanden")</f>
        <v>607269879</v>
      </c>
      <c r="F264" s="0" t="str">
        <f aca="false">IF(C264="Kaltwasser",E264-D264,"")</f>
        <v/>
      </c>
      <c r="G264" s="0" t="str">
        <f aca="false">IF(C264="Warmwasser",E264-D264,"")</f>
        <v/>
      </c>
      <c r="H264" s="118" t="str">
        <f aca="false">IF(C264="ista",E264,"")</f>
        <v/>
      </c>
    </row>
    <row r="265" customFormat="false" ht="13.5" hidden="false" customHeight="false" outlineLevel="0" collapsed="false">
      <c r="A265" s="10" t="n">
        <v>548619214</v>
      </c>
      <c r="B265" s="10" t="n">
        <v>87</v>
      </c>
      <c r="C265" s="10" t="n">
        <v>22</v>
      </c>
      <c r="D265" s="10" t="n">
        <v>19</v>
      </c>
      <c r="E265" s="0" t="n">
        <f aca="false">IFERROR(VLOOKUP(A265,'Ablesung ista &amp; Wasser'!E:E,1,0),"Nicht vorhanden")</f>
        <v>548619214</v>
      </c>
      <c r="F265" s="0" t="str">
        <f aca="false">IF(C265="Kaltwasser",E265-D265,"")</f>
        <v/>
      </c>
      <c r="G265" s="0" t="str">
        <f aca="false">IF(C265="Warmwasser",E265-D265,"")</f>
        <v/>
      </c>
      <c r="H265" s="118" t="str">
        <f aca="false">IF(C265="ista",E265,"")</f>
        <v/>
      </c>
    </row>
    <row r="266" customFormat="false" ht="13.5" hidden="false" customHeight="false" outlineLevel="0" collapsed="false">
      <c r="A266" s="10" t="n">
        <v>548619054</v>
      </c>
      <c r="B266" s="10" t="n">
        <v>75</v>
      </c>
      <c r="C266" s="10" t="n">
        <v>184</v>
      </c>
      <c r="D266" s="10" t="n">
        <v>142</v>
      </c>
      <c r="E266" s="0" t="n">
        <f aca="false">IFERROR(VLOOKUP(A266,'Ablesung ista &amp; Wasser'!E:E,1,0),"Nicht vorhanden")</f>
        <v>548619054</v>
      </c>
      <c r="F266" s="0" t="str">
        <f aca="false">IF(C266="Kaltwasser",E266-D266,"")</f>
        <v/>
      </c>
      <c r="G266" s="0" t="str">
        <f aca="false">IF(C266="Warmwasser",E266-D266,"")</f>
        <v/>
      </c>
      <c r="H266" s="118" t="str">
        <f aca="false">IF(C266="ista",E266,"")</f>
        <v/>
      </c>
    </row>
    <row r="267" customFormat="false" ht="13.5" hidden="false" customHeight="false" outlineLevel="0" collapsed="false">
      <c r="A267" s="10" t="n">
        <v>15990195</v>
      </c>
      <c r="B267" s="10" t="n">
        <v>80.68</v>
      </c>
      <c r="C267" s="10" t="n">
        <v>129.921</v>
      </c>
      <c r="D267" s="10" t="n">
        <v>188.189</v>
      </c>
      <c r="E267" s="0" t="n">
        <f aca="false">IFERROR(VLOOKUP(A267,'Ablesung ista &amp; Wasser'!E:E,1,0),"Nicht vorhanden")</f>
        <v>15990195</v>
      </c>
      <c r="F267" s="0" t="str">
        <f aca="false">IF(C267="Kaltwasser",E267-D267,"")</f>
        <v/>
      </c>
      <c r="G267" s="0" t="str">
        <f aca="false">IF(C267="Warmwasser",E267-D267,"")</f>
        <v/>
      </c>
      <c r="H267" s="118" t="str">
        <f aca="false">IF(C267="ista",E267,"")</f>
        <v/>
      </c>
    </row>
    <row r="268" customFormat="false" ht="13.5" hidden="false" customHeight="false" outlineLevel="0" collapsed="false">
      <c r="A268" s="10" t="n">
        <v>15990183</v>
      </c>
      <c r="B268" s="10" t="n">
        <v>92.14</v>
      </c>
      <c r="C268" s="10" t="n">
        <v>137.903</v>
      </c>
      <c r="D268" s="10" t="n">
        <v>183.574</v>
      </c>
      <c r="E268" s="0" t="n">
        <f aca="false">IFERROR(VLOOKUP(A268,'Ablesung ista &amp; Wasser'!E:E,1,0),"Nicht vorhanden")</f>
        <v>15990183</v>
      </c>
      <c r="F268" s="0" t="str">
        <f aca="false">IF(C268="Kaltwasser",E268-D268,"")</f>
        <v/>
      </c>
      <c r="G268" s="0" t="str">
        <f aca="false">IF(C268="Warmwasser",E268-D268,"")</f>
        <v/>
      </c>
      <c r="H268" s="118" t="str">
        <f aca="false">IF(C268="ista",E268,"")</f>
        <v/>
      </c>
    </row>
    <row r="269" customFormat="false" ht="13.5" hidden="false" customHeight="false" outlineLevel="0" collapsed="false">
      <c r="A269" s="10" t="n">
        <v>16160364</v>
      </c>
      <c r="B269" s="10" t="n">
        <v>60.77</v>
      </c>
      <c r="C269" s="10" t="n">
        <v>98.344</v>
      </c>
      <c r="D269" s="10" t="n">
        <v>143.107</v>
      </c>
      <c r="E269" s="0" t="n">
        <f aca="false">IFERROR(VLOOKUP(A269,'Ablesung ista &amp; Wasser'!E:E,1,0),"Nicht vorhanden")</f>
        <v>16160364</v>
      </c>
      <c r="F269" s="0" t="str">
        <f aca="false">IF(C269="Kaltwasser",E269-D269,"")</f>
        <v/>
      </c>
      <c r="G269" s="0" t="str">
        <f aca="false">IF(C269="Warmwasser",E269-D269,"")</f>
        <v/>
      </c>
      <c r="H269" s="118" t="str">
        <f aca="false">IF(C269="ista",E269,"")</f>
        <v/>
      </c>
    </row>
    <row r="270" customFormat="false" ht="13.5" hidden="false" customHeight="false" outlineLevel="0" collapsed="false">
      <c r="A270" s="10" t="n">
        <v>16129400</v>
      </c>
      <c r="B270" s="10" t="n">
        <v>33.15</v>
      </c>
      <c r="C270" s="10" t="n">
        <v>47.367</v>
      </c>
      <c r="D270" s="10" t="n">
        <v>61.975</v>
      </c>
      <c r="E270" s="0" t="n">
        <f aca="false">IFERROR(VLOOKUP(A270,'Ablesung ista &amp; Wasser'!E:E,1,0),"Nicht vorhanden")</f>
        <v>16129400</v>
      </c>
      <c r="F270" s="0" t="str">
        <f aca="false">IF(C270="Kaltwasser",E270-D270,"")</f>
        <v/>
      </c>
      <c r="G270" s="0" t="str">
        <f aca="false">IF(C270="Warmwasser",E270-D270,"")</f>
        <v/>
      </c>
      <c r="H270" s="118" t="str">
        <f aca="false">IF(C270="ista",E270,"")</f>
        <v/>
      </c>
    </row>
    <row r="271" customFormat="false" ht="13.5" hidden="false" customHeight="false" outlineLevel="0" collapsed="false">
      <c r="A271" s="10" t="n">
        <v>620214986</v>
      </c>
      <c r="B271" s="10" t="n">
        <v>984</v>
      </c>
      <c r="C271" s="10" t="n">
        <v>1113</v>
      </c>
      <c r="D271" s="10" t="n">
        <v>132</v>
      </c>
      <c r="E271" s="0" t="n">
        <f aca="false">IFERROR(VLOOKUP(A271,'Ablesung ista &amp; Wasser'!E:E,1,0),"Nicht vorhanden")</f>
        <v>620214986</v>
      </c>
      <c r="F271" s="0" t="str">
        <f aca="false">IF(C271="Kaltwasser",E271-D271,"")</f>
        <v/>
      </c>
      <c r="G271" s="0" t="str">
        <f aca="false">IF(C271="Warmwasser",E271-D271,"")</f>
        <v/>
      </c>
      <c r="H271" s="118" t="str">
        <f aca="false">IF(C271="ista",E271,"")</f>
        <v/>
      </c>
    </row>
    <row r="272" customFormat="false" ht="13.5" hidden="false" customHeight="false" outlineLevel="0" collapsed="false">
      <c r="A272" s="10" t="n">
        <v>620009674</v>
      </c>
      <c r="B272" s="10" t="n">
        <v>776</v>
      </c>
      <c r="C272" s="10" t="n">
        <v>458</v>
      </c>
      <c r="D272" s="10" t="n">
        <v>429</v>
      </c>
      <c r="E272" s="0" t="n">
        <f aca="false">IFERROR(VLOOKUP(A272,'Ablesung ista &amp; Wasser'!E:E,1,0),"Nicht vorhanden")</f>
        <v>620009674</v>
      </c>
      <c r="F272" s="0" t="str">
        <f aca="false">IF(C272="Kaltwasser",E272-D272,"")</f>
        <v/>
      </c>
      <c r="G272" s="0" t="str">
        <f aca="false">IF(C272="Warmwasser",E272-D272,"")</f>
        <v/>
      </c>
      <c r="H272" s="118" t="str">
        <f aca="false">IF(C272="ista",E272,"")</f>
        <v/>
      </c>
    </row>
    <row r="273" customFormat="false" ht="13.5" hidden="false" customHeight="false" outlineLevel="0" collapsed="false">
      <c r="A273" s="10" t="n">
        <v>620009698</v>
      </c>
      <c r="B273" s="10" t="n">
        <v>423</v>
      </c>
      <c r="C273" s="10" t="n">
        <v>433</v>
      </c>
      <c r="D273" s="10" t="n">
        <v>442</v>
      </c>
      <c r="E273" s="0" t="n">
        <f aca="false">IFERROR(VLOOKUP(A273,'Ablesung ista &amp; Wasser'!E:E,1,0),"Nicht vorhanden")</f>
        <v>620009698</v>
      </c>
      <c r="F273" s="0" t="str">
        <f aca="false">IF(C273="Kaltwasser",E273-D273,"")</f>
        <v/>
      </c>
      <c r="G273" s="0" t="str">
        <f aca="false">IF(C273="Warmwasser",E273-D273,"")</f>
        <v/>
      </c>
      <c r="H273" s="118" t="str">
        <f aca="false">IF(C273="ista",E273,"")</f>
        <v/>
      </c>
    </row>
    <row r="274" customFormat="false" ht="13.5" hidden="false" customHeight="false" outlineLevel="0" collapsed="false">
      <c r="A274" s="10" t="n">
        <v>620009650</v>
      </c>
      <c r="B274" s="10" t="n">
        <v>373</v>
      </c>
      <c r="C274" s="10" t="n">
        <v>456</v>
      </c>
      <c r="D274" s="10" t="n">
        <v>642</v>
      </c>
      <c r="E274" s="0" t="n">
        <f aca="false">IFERROR(VLOOKUP(A274,'Ablesung ista &amp; Wasser'!E:E,1,0),"Nicht vorhanden")</f>
        <v>620009650</v>
      </c>
      <c r="F274" s="0" t="str">
        <f aca="false">IF(C274="Kaltwasser",E274-D274,"")</f>
        <v/>
      </c>
      <c r="G274" s="0" t="str">
        <f aca="false">IF(C274="Warmwasser",E274-D274,"")</f>
        <v/>
      </c>
      <c r="H274" s="118" t="str">
        <f aca="false">IF(C274="ista",E274,"")</f>
        <v/>
      </c>
    </row>
    <row r="275" customFormat="false" ht="13.5" hidden="false" customHeight="false" outlineLevel="0" collapsed="false">
      <c r="A275" s="10" t="n">
        <v>620009636</v>
      </c>
      <c r="B275" s="10" t="n">
        <v>302</v>
      </c>
      <c r="C275" s="10" t="n">
        <v>344</v>
      </c>
      <c r="D275" s="10" t="n">
        <v>918</v>
      </c>
      <c r="E275" s="0" t="n">
        <f aca="false">IFERROR(VLOOKUP(A275,'Ablesung ista &amp; Wasser'!E:E,1,0),"Nicht vorhanden")</f>
        <v>620009636</v>
      </c>
      <c r="F275" s="0" t="str">
        <f aca="false">IF(C275="Kaltwasser",E275-D275,"")</f>
        <v/>
      </c>
      <c r="G275" s="0" t="str">
        <f aca="false">IF(C275="Warmwasser",E275-D275,"")</f>
        <v/>
      </c>
      <c r="H275" s="118" t="str">
        <f aca="false">IF(C275="ista",E275,"")</f>
        <v/>
      </c>
    </row>
    <row r="276" customFormat="false" ht="13.5" hidden="false" customHeight="false" outlineLevel="0" collapsed="false">
      <c r="A276" s="10" t="n">
        <v>620009407</v>
      </c>
      <c r="B276" s="10" t="s">
        <v>479</v>
      </c>
      <c r="C276" s="10" t="n">
        <v>328</v>
      </c>
      <c r="D276" s="10" t="n">
        <v>639</v>
      </c>
      <c r="E276" s="0" t="str">
        <f aca="false">IFERROR(VLOOKUP(A276,'Ablesung ista &amp; Wasser'!E:E,1,0),"Nicht vorhanden")</f>
        <v>Nicht vorhanden</v>
      </c>
      <c r="F276" s="0" t="str">
        <f aca="false">IF(C276="Kaltwasser",E276-D276,"")</f>
        <v/>
      </c>
      <c r="G276" s="0" t="str">
        <f aca="false">IF(C276="Warmwasser",E276-D276,"")</f>
        <v/>
      </c>
      <c r="H276" s="118" t="str">
        <f aca="false">IF(C276="ista",E276,"")</f>
        <v/>
      </c>
    </row>
    <row r="277" customFormat="false" ht="13.5" hidden="false" customHeight="false" outlineLevel="0" collapsed="false">
      <c r="A277" s="10" t="n">
        <v>620009186</v>
      </c>
      <c r="B277" s="10" t="n">
        <v>264</v>
      </c>
      <c r="C277" s="10" t="n">
        <v>1333</v>
      </c>
      <c r="D277" s="10" t="n">
        <v>542</v>
      </c>
      <c r="E277" s="0" t="n">
        <f aca="false">IFERROR(VLOOKUP(A277,'Ablesung ista &amp; Wasser'!E:E,1,0),"Nicht vorhanden")</f>
        <v>620009186</v>
      </c>
      <c r="F277" s="0" t="str">
        <f aca="false">IF(C277="Kaltwasser",E277-D277,"")</f>
        <v/>
      </c>
      <c r="G277" s="0" t="str">
        <f aca="false">IF(C277="Warmwasser",E277-D277,"")</f>
        <v/>
      </c>
      <c r="H277" s="118" t="str">
        <f aca="false">IF(C277="ista",E277,"")</f>
        <v/>
      </c>
    </row>
    <row r="278" customFormat="false" ht="13.5" hidden="false" customHeight="false" outlineLevel="0" collapsed="false">
      <c r="A278" s="10" t="n">
        <v>620009735</v>
      </c>
      <c r="B278" s="10" t="n">
        <v>220</v>
      </c>
      <c r="C278" s="10" t="n">
        <v>527</v>
      </c>
      <c r="D278" s="10" t="n">
        <v>505</v>
      </c>
      <c r="E278" s="0" t="n">
        <f aca="false">IFERROR(VLOOKUP(A278,'Ablesung ista &amp; Wasser'!E:E,1,0),"Nicht vorhanden")</f>
        <v>620009735</v>
      </c>
      <c r="F278" s="0" t="str">
        <f aca="false">IF(C278="Kaltwasser",E278-D278,"")</f>
        <v/>
      </c>
      <c r="G278" s="0" t="str">
        <f aca="false">IF(C278="Warmwasser",E278-D278,"")</f>
        <v/>
      </c>
      <c r="H278" s="118" t="str">
        <f aca="false">IF(C278="ista",E278,"")</f>
        <v/>
      </c>
    </row>
    <row r="279" customFormat="false" ht="13.5" hidden="false" customHeight="false" outlineLevel="0" collapsed="false">
      <c r="A279" s="10" t="n">
        <v>620009711</v>
      </c>
      <c r="B279" s="10" t="n">
        <v>211</v>
      </c>
      <c r="C279" s="10" t="n">
        <v>1483</v>
      </c>
      <c r="D279" s="10" t="n">
        <v>786</v>
      </c>
      <c r="E279" s="0" t="n">
        <f aca="false">IFERROR(VLOOKUP(A279,'Ablesung ista &amp; Wasser'!E:E,1,0),"Nicht vorhanden")</f>
        <v>620009711</v>
      </c>
      <c r="F279" s="0" t="str">
        <f aca="false">IF(C279="Kaltwasser",E279-D279,"")</f>
        <v/>
      </c>
      <c r="G279" s="0" t="str">
        <f aca="false">IF(C279="Warmwasser",E279-D279,"")</f>
        <v/>
      </c>
      <c r="H279" s="118" t="str">
        <f aca="false">IF(C279="ista",E279,"")</f>
        <v/>
      </c>
    </row>
    <row r="280" customFormat="false" ht="13.5" hidden="false" customHeight="false" outlineLevel="0" collapsed="false">
      <c r="A280" s="10" t="n">
        <v>620214948</v>
      </c>
      <c r="B280" s="10" t="n">
        <v>111</v>
      </c>
      <c r="C280" s="10" t="n">
        <v>328</v>
      </c>
      <c r="D280" s="10" t="n">
        <v>102</v>
      </c>
      <c r="E280" s="0" t="n">
        <f aca="false">IFERROR(VLOOKUP(A280,'Ablesung ista &amp; Wasser'!E:E,1,0),"Nicht vorhanden")</f>
        <v>620214948</v>
      </c>
      <c r="F280" s="0" t="str">
        <f aca="false">IF(C280="Kaltwasser",E280-D280,"")</f>
        <v/>
      </c>
      <c r="G280" s="0" t="str">
        <f aca="false">IF(C280="Warmwasser",E280-D280,"")</f>
        <v/>
      </c>
      <c r="H280" s="118" t="str">
        <f aca="false">IF(C280="ista",E280,"")</f>
        <v/>
      </c>
    </row>
    <row r="281" customFormat="false" ht="13.5" hidden="false" customHeight="false" outlineLevel="0" collapsed="false">
      <c r="A281" s="10" t="n">
        <v>16075870</v>
      </c>
      <c r="B281" s="10" t="n">
        <v>22.565</v>
      </c>
      <c r="C281" s="10" t="n">
        <v>41.967</v>
      </c>
      <c r="D281" s="10" t="n">
        <v>60.558</v>
      </c>
      <c r="E281" s="0" t="n">
        <f aca="false">IFERROR(VLOOKUP(A281,'Ablesung ista &amp; Wasser'!E:E,1,0),"Nicht vorhanden")</f>
        <v>16075870</v>
      </c>
      <c r="F281" s="0" t="str">
        <f aca="false">IF(C281="Kaltwasser",E281-D281,"")</f>
        <v/>
      </c>
      <c r="G281" s="0" t="str">
        <f aca="false">IF(C281="Warmwasser",E281-D281,"")</f>
        <v/>
      </c>
      <c r="H281" s="118" t="str">
        <f aca="false">IF(C281="ista",E281,"")</f>
        <v/>
      </c>
    </row>
    <row r="282" customFormat="false" ht="13.5" hidden="false" customHeight="false" outlineLevel="0" collapsed="false">
      <c r="A282" s="10" t="n">
        <v>16075865</v>
      </c>
      <c r="B282" s="10" t="n">
        <v>38.879</v>
      </c>
      <c r="C282" s="10" t="n">
        <v>61.615</v>
      </c>
      <c r="D282" s="10" t="n">
        <v>85.571</v>
      </c>
      <c r="E282" s="0" t="n">
        <f aca="false">IFERROR(VLOOKUP(A282,'Ablesung ista &amp; Wasser'!E:E,1,0),"Nicht vorhanden")</f>
        <v>16075865</v>
      </c>
      <c r="F282" s="0" t="str">
        <f aca="false">IF(C282="Kaltwasser",E282-D282,"")</f>
        <v/>
      </c>
      <c r="G282" s="0" t="str">
        <f aca="false">IF(C282="Warmwasser",E282-D282,"")</f>
        <v/>
      </c>
      <c r="H282" s="118" t="str">
        <f aca="false">IF(C282="ista",E282,"")</f>
        <v/>
      </c>
    </row>
    <row r="283" customFormat="false" ht="13.5" hidden="false" customHeight="false" outlineLevel="0" collapsed="false">
      <c r="A283" s="10" t="n">
        <v>16160649</v>
      </c>
      <c r="B283" s="10" t="n">
        <v>14.016</v>
      </c>
      <c r="C283" s="10" t="n">
        <v>26.518</v>
      </c>
      <c r="D283" s="10" t="n">
        <v>39.299</v>
      </c>
      <c r="E283" s="0" t="n">
        <f aca="false">IFERROR(VLOOKUP(A283,'Ablesung ista &amp; Wasser'!E:E,1,0),"Nicht vorhanden")</f>
        <v>16160649</v>
      </c>
      <c r="F283" s="0" t="str">
        <f aca="false">IF(C283="Kaltwasser",E283-D283,"")</f>
        <v/>
      </c>
      <c r="G283" s="0" t="str">
        <f aca="false">IF(C283="Warmwasser",E283-D283,"")</f>
        <v/>
      </c>
      <c r="H283" s="118" t="str">
        <f aca="false">IF(C283="ista",E283,"")</f>
        <v/>
      </c>
    </row>
    <row r="284" customFormat="false" ht="13.5" hidden="false" customHeight="false" outlineLevel="0" collapsed="false">
      <c r="A284" s="10" t="n">
        <v>16160969</v>
      </c>
      <c r="B284" s="10" t="n">
        <v>12.698</v>
      </c>
      <c r="C284" s="10" t="n">
        <v>17.743</v>
      </c>
      <c r="D284" s="10" t="n">
        <v>25.018</v>
      </c>
      <c r="E284" s="0" t="n">
        <f aca="false">IFERROR(VLOOKUP(A284,'Ablesung ista &amp; Wasser'!E:E,1,0),"Nicht vorhanden")</f>
        <v>16160969</v>
      </c>
      <c r="F284" s="0" t="str">
        <f aca="false">IF(C284="Kaltwasser",E284-D284,"")</f>
        <v/>
      </c>
      <c r="G284" s="0" t="str">
        <f aca="false">IF(C284="Warmwasser",E284-D284,"")</f>
        <v/>
      </c>
      <c r="H284" s="118" t="str">
        <f aca="false">IF(C284="ista",E284,"")</f>
        <v/>
      </c>
    </row>
    <row r="285" customFormat="false" ht="13.5" hidden="false" customHeight="false" outlineLevel="0" collapsed="false">
      <c r="A285" s="10" t="n">
        <v>620007427</v>
      </c>
      <c r="B285" s="10" t="n">
        <v>2443</v>
      </c>
      <c r="C285" s="10" t="n">
        <v>2210</v>
      </c>
      <c r="D285" s="10" t="n">
        <v>1619</v>
      </c>
      <c r="E285" s="0" t="n">
        <f aca="false">IFERROR(VLOOKUP(A285,'Ablesung ista &amp; Wasser'!E:E,1,0),"Nicht vorhanden")</f>
        <v>620007427</v>
      </c>
      <c r="F285" s="0" t="str">
        <f aca="false">IF(C285="Kaltwasser",E285-D285,"")</f>
        <v/>
      </c>
      <c r="G285" s="0" t="str">
        <f aca="false">IF(C285="Warmwasser",E285-D285,"")</f>
        <v/>
      </c>
      <c r="H285" s="118" t="str">
        <f aca="false">IF(C285="ista",E285,"")</f>
        <v/>
      </c>
    </row>
    <row r="286" customFormat="false" ht="13.5" hidden="false" customHeight="false" outlineLevel="0" collapsed="false">
      <c r="A286" s="10" t="n">
        <v>622086246</v>
      </c>
      <c r="B286" s="10" t="n">
        <v>1993</v>
      </c>
      <c r="C286" s="10" t="n">
        <v>1355</v>
      </c>
      <c r="D286" s="10" t="n">
        <v>2150</v>
      </c>
      <c r="E286" s="0" t="n">
        <f aca="false">IFERROR(VLOOKUP(A286,'Ablesung ista &amp; Wasser'!E:E,1,0),"Nicht vorhanden")</f>
        <v>622086246</v>
      </c>
      <c r="F286" s="0" t="str">
        <f aca="false">IF(C286="Kaltwasser",E286-D286,"")</f>
        <v/>
      </c>
      <c r="G286" s="0" t="str">
        <f aca="false">IF(C286="Warmwasser",E286-D286,"")</f>
        <v/>
      </c>
      <c r="H286" s="118" t="str">
        <f aca="false">IF(C286="ista",E286,"")</f>
        <v/>
      </c>
    </row>
    <row r="287" customFormat="false" ht="13.5" hidden="false" customHeight="false" outlineLevel="0" collapsed="false">
      <c r="A287" s="10" t="n">
        <v>620215006</v>
      </c>
      <c r="B287" s="10" t="n">
        <v>1986</v>
      </c>
      <c r="C287" s="8" t="n">
        <v>2317</v>
      </c>
      <c r="D287" s="8" t="n">
        <v>1755</v>
      </c>
      <c r="E287" s="0" t="n">
        <f aca="false">IFERROR(VLOOKUP(A287,'Ablesung ista &amp; Wasser'!E:E,1,0),"Nicht vorhanden")</f>
        <v>620215006</v>
      </c>
      <c r="F287" s="0" t="str">
        <f aca="false">IF(C287="Kaltwasser",E287-D287,"")</f>
        <v/>
      </c>
      <c r="G287" s="0" t="str">
        <f aca="false">IF(C287="Warmwasser",E287-D287,"")</f>
        <v/>
      </c>
      <c r="H287" s="118" t="str">
        <f aca="false">IF(C287="ista",E287,"")</f>
        <v/>
      </c>
    </row>
    <row r="288" customFormat="false" ht="13.5" hidden="false" customHeight="false" outlineLevel="0" collapsed="false">
      <c r="A288" s="10" t="n">
        <v>620008967</v>
      </c>
      <c r="B288" s="10" t="n">
        <v>1863</v>
      </c>
      <c r="C288" s="10" t="n">
        <v>1864</v>
      </c>
      <c r="D288" s="10" t="n">
        <v>1527</v>
      </c>
      <c r="E288" s="0" t="n">
        <f aca="false">IFERROR(VLOOKUP(A288,'Ablesung ista &amp; Wasser'!E:E,1,0),"Nicht vorhanden")</f>
        <v>620008967</v>
      </c>
      <c r="F288" s="0" t="str">
        <f aca="false">IF(C288="Kaltwasser",E288-D288,"")</f>
        <v/>
      </c>
      <c r="G288" s="0" t="str">
        <f aca="false">IF(C288="Warmwasser",E288-D288,"")</f>
        <v/>
      </c>
      <c r="H288" s="118" t="str">
        <f aca="false">IF(C288="ista",E288,"")</f>
        <v/>
      </c>
    </row>
    <row r="289" customFormat="false" ht="13.5" hidden="false" customHeight="false" outlineLevel="0" collapsed="false">
      <c r="A289" s="10" t="n">
        <v>622086222</v>
      </c>
      <c r="B289" s="10" t="n">
        <v>1238</v>
      </c>
      <c r="C289" s="10" t="n">
        <v>348</v>
      </c>
      <c r="D289" s="10" t="n">
        <v>1586</v>
      </c>
      <c r="E289" s="0" t="n">
        <f aca="false">IFERROR(VLOOKUP(A289,'Ablesung ista &amp; Wasser'!E:E,1,0),"Nicht vorhanden")</f>
        <v>622086222</v>
      </c>
      <c r="F289" s="0" t="str">
        <f aca="false">IF(C289="Kaltwasser",E289-D289,"")</f>
        <v/>
      </c>
      <c r="G289" s="0" t="str">
        <f aca="false">IF(C289="Warmwasser",E289-D289,"")</f>
        <v/>
      </c>
      <c r="H289" s="118" t="str">
        <f aca="false">IF(C289="ista",E289,"")</f>
        <v/>
      </c>
    </row>
    <row r="290" customFormat="false" ht="13.5" hidden="false" customHeight="false" outlineLevel="0" collapsed="false">
      <c r="A290" s="10" t="n">
        <v>619186539</v>
      </c>
      <c r="B290" s="10" t="n">
        <v>1098</v>
      </c>
      <c r="C290" s="10" t="n">
        <v>1169</v>
      </c>
      <c r="D290" s="10" t="n">
        <v>503</v>
      </c>
      <c r="E290" s="0" t="n">
        <f aca="false">IFERROR(VLOOKUP(A290,'Ablesung ista &amp; Wasser'!E:E,1,0),"Nicht vorhanden")</f>
        <v>619186539</v>
      </c>
      <c r="F290" s="0" t="str">
        <f aca="false">IF(C290="Kaltwasser",E290-D290,"")</f>
        <v/>
      </c>
      <c r="G290" s="0" t="str">
        <f aca="false">IF(C290="Warmwasser",E290-D290,"")</f>
        <v/>
      </c>
      <c r="H290" s="118" t="str">
        <f aca="false">IF(C290="ista",E290,"")</f>
        <v/>
      </c>
    </row>
    <row r="291" customFormat="false" ht="13.5" hidden="false" customHeight="false" outlineLevel="0" collapsed="false">
      <c r="A291" s="10" t="n">
        <v>622086284</v>
      </c>
      <c r="B291" s="10" t="n">
        <v>882</v>
      </c>
      <c r="C291" s="10" t="n">
        <v>850</v>
      </c>
      <c r="D291" s="10" t="n">
        <v>1421</v>
      </c>
      <c r="E291" s="0" t="n">
        <f aca="false">IFERROR(VLOOKUP(A291,'Ablesung ista &amp; Wasser'!E:E,1,0),"Nicht vorhanden")</f>
        <v>622086284</v>
      </c>
      <c r="F291" s="0" t="str">
        <f aca="false">IF(C291="Kaltwasser",E291-D291,"")</f>
        <v/>
      </c>
      <c r="G291" s="0" t="str">
        <f aca="false">IF(C291="Warmwasser",E291-D291,"")</f>
        <v/>
      </c>
      <c r="H291" s="118" t="str">
        <f aca="false">IF(C291="ista",E291,"")</f>
        <v/>
      </c>
    </row>
    <row r="292" customFormat="false" ht="13.5" hidden="false" customHeight="false" outlineLevel="0" collapsed="false">
      <c r="A292" s="10" t="n">
        <v>619186782</v>
      </c>
      <c r="B292" s="10" t="n">
        <v>851</v>
      </c>
      <c r="C292" s="10" t="n">
        <v>732</v>
      </c>
      <c r="D292" s="10" t="n">
        <v>650</v>
      </c>
      <c r="E292" s="0" t="n">
        <f aca="false">IFERROR(VLOOKUP(A292,'Ablesung ista &amp; Wasser'!E:E,1,0),"Nicht vorhanden")</f>
        <v>619186782</v>
      </c>
      <c r="F292" s="0" t="str">
        <f aca="false">IF(C292="Kaltwasser",E292-D292,"")</f>
        <v/>
      </c>
      <c r="G292" s="0" t="str">
        <f aca="false">IF(C292="Warmwasser",E292-D292,"")</f>
        <v/>
      </c>
      <c r="H292" s="118" t="str">
        <f aca="false">IF(C292="ista",E292,"")</f>
        <v/>
      </c>
    </row>
    <row r="293" customFormat="false" ht="13.5" hidden="false" customHeight="false" outlineLevel="0" collapsed="false">
      <c r="A293" s="10" t="n">
        <v>619186768</v>
      </c>
      <c r="B293" s="10" t="n">
        <v>809</v>
      </c>
      <c r="C293" s="10" t="n">
        <v>1503</v>
      </c>
      <c r="D293" s="10" t="n">
        <v>1545</v>
      </c>
      <c r="E293" s="0" t="n">
        <f aca="false">IFERROR(VLOOKUP(A293,'Ablesung ista &amp; Wasser'!E:E,1,0),"Nicht vorhanden")</f>
        <v>619186768</v>
      </c>
      <c r="F293" s="0" t="str">
        <f aca="false">IF(C293="Kaltwasser",E293-D293,"")</f>
        <v/>
      </c>
      <c r="G293" s="0" t="str">
        <f aca="false">IF(C293="Warmwasser",E293-D293,"")</f>
        <v/>
      </c>
      <c r="H293" s="118" t="str">
        <f aca="false">IF(C293="ista",E293,"")</f>
        <v/>
      </c>
    </row>
    <row r="294" customFormat="false" ht="13.5" hidden="false" customHeight="false" outlineLevel="0" collapsed="false">
      <c r="A294" s="10" t="n">
        <v>619186805</v>
      </c>
      <c r="B294" s="10" t="n">
        <v>490</v>
      </c>
      <c r="C294" s="10" t="n">
        <v>532</v>
      </c>
      <c r="D294" s="10" t="n">
        <v>1131</v>
      </c>
      <c r="E294" s="0" t="n">
        <f aca="false">IFERROR(VLOOKUP(A294,'Ablesung ista &amp; Wasser'!E:E,1,0),"Nicht vorhanden")</f>
        <v>619186805</v>
      </c>
      <c r="F294" s="0" t="str">
        <f aca="false">IF(C294="Kaltwasser",E294-D294,"")</f>
        <v/>
      </c>
      <c r="G294" s="0" t="str">
        <f aca="false">IF(C294="Warmwasser",E294-D294,"")</f>
        <v/>
      </c>
      <c r="H294" s="118" t="str">
        <f aca="false">IF(C294="ista",E294,"")</f>
        <v/>
      </c>
    </row>
    <row r="295" customFormat="false" ht="13.5" hidden="false" customHeight="false" outlineLevel="0" collapsed="false">
      <c r="A295" s="10" t="n">
        <v>625280863</v>
      </c>
      <c r="B295" s="10" t="n">
        <v>391</v>
      </c>
      <c r="C295" s="10" t="n">
        <v>1371</v>
      </c>
      <c r="D295" s="10" t="n">
        <v>1322</v>
      </c>
      <c r="E295" s="0" t="n">
        <f aca="false">IFERROR(VLOOKUP(A295,'Ablesung ista &amp; Wasser'!E:E,1,0),"Nicht vorhanden")</f>
        <v>625280863</v>
      </c>
      <c r="F295" s="0" t="str">
        <f aca="false">IF(C295="Kaltwasser",E295-D295,"")</f>
        <v/>
      </c>
      <c r="G295" s="0" t="str">
        <f aca="false">IF(C295="Warmwasser",E295-D295,"")</f>
        <v/>
      </c>
      <c r="H295" s="118" t="str">
        <f aca="false">IF(C295="ista",E295,"")</f>
        <v/>
      </c>
    </row>
    <row r="296" customFormat="false" ht="13.5" hidden="false" customHeight="false" outlineLevel="0" collapsed="false">
      <c r="A296" s="10" t="n">
        <v>16200252</v>
      </c>
      <c r="B296" s="10" t="n">
        <v>24.071</v>
      </c>
      <c r="C296" s="10" t="n">
        <v>37.573</v>
      </c>
      <c r="D296" s="10" t="n">
        <v>47.799</v>
      </c>
      <c r="E296" s="0" t="n">
        <f aca="false">IFERROR(VLOOKUP(A296,'Ablesung ista &amp; Wasser'!E:E,1,0),"Nicht vorhanden")</f>
        <v>16200252</v>
      </c>
      <c r="F296" s="0" t="str">
        <f aca="false">IF(C296="Kaltwasser",E296-D296,"")</f>
        <v/>
      </c>
      <c r="G296" s="0" t="str">
        <f aca="false">IF(C296="Warmwasser",E296-D296,"")</f>
        <v/>
      </c>
      <c r="H296" s="118" t="str">
        <f aca="false">IF(C296="ista",E296,"")</f>
        <v/>
      </c>
    </row>
    <row r="297" customFormat="false" ht="13.5" hidden="false" customHeight="false" outlineLevel="0" collapsed="false">
      <c r="A297" s="10" t="n">
        <v>16075982</v>
      </c>
      <c r="B297" s="10" t="n">
        <v>52.433</v>
      </c>
      <c r="C297" s="10" t="n">
        <v>96.243</v>
      </c>
      <c r="D297" s="10" t="n">
        <v>121.567</v>
      </c>
      <c r="E297" s="0" t="n">
        <f aca="false">IFERROR(VLOOKUP(A297,'Ablesung ista &amp; Wasser'!E:E,1,0),"Nicht vorhanden")</f>
        <v>16075982</v>
      </c>
      <c r="F297" s="0" t="str">
        <f aca="false">IF(C297="Kaltwasser",E297-D297,"")</f>
        <v/>
      </c>
      <c r="G297" s="0" t="str">
        <f aca="false">IF(C297="Warmwasser",E297-D297,"")</f>
        <v/>
      </c>
      <c r="H297" s="118" t="str">
        <f aca="false">IF(C297="ista",E297,"")</f>
        <v/>
      </c>
    </row>
    <row r="298" customFormat="false" ht="13.5" hidden="false" customHeight="false" outlineLevel="0" collapsed="false">
      <c r="A298" s="10" t="n">
        <v>16200487</v>
      </c>
      <c r="B298" s="10" t="n">
        <v>53.181</v>
      </c>
      <c r="C298" s="10" t="n">
        <v>84.958</v>
      </c>
      <c r="D298" s="10" t="n">
        <v>108.107</v>
      </c>
      <c r="E298" s="0" t="n">
        <f aca="false">IFERROR(VLOOKUP(A298,'Ablesung ista &amp; Wasser'!E:E,1,0),"Nicht vorhanden")</f>
        <v>16200487</v>
      </c>
      <c r="F298" s="0" t="str">
        <f aca="false">IF(C298="Kaltwasser",E298-D298,"")</f>
        <v/>
      </c>
      <c r="G298" s="0" t="str">
        <f aca="false">IF(C298="Warmwasser",E298-D298,"")</f>
        <v/>
      </c>
      <c r="H298" s="118" t="str">
        <f aca="false">IF(C298="ista",E298,"")</f>
        <v/>
      </c>
    </row>
    <row r="299" customFormat="false" ht="13.5" hidden="false" customHeight="false" outlineLevel="0" collapsed="false">
      <c r="A299" s="10" t="n">
        <v>16160648</v>
      </c>
      <c r="B299" s="10" t="n">
        <v>6.412</v>
      </c>
      <c r="C299" s="10" t="n">
        <v>10.428</v>
      </c>
      <c r="D299" s="10" t="n">
        <v>13.876</v>
      </c>
      <c r="E299" s="0" t="n">
        <f aca="false">IFERROR(VLOOKUP(A299,'Ablesung ista &amp; Wasser'!E:E,1,0),"Nicht vorhanden")</f>
        <v>16160648</v>
      </c>
      <c r="F299" s="0" t="str">
        <f aca="false">IF(C299="Kaltwasser",E299-D299,"")</f>
        <v/>
      </c>
      <c r="G299" s="0" t="str">
        <f aca="false">IF(C299="Warmwasser",E299-D299,"")</f>
        <v/>
      </c>
      <c r="H299" s="118" t="str">
        <f aca="false">IF(C299="ista",E299,"")</f>
        <v/>
      </c>
    </row>
    <row r="300" customFormat="false" ht="13.5" hidden="false" customHeight="false" outlineLevel="0" collapsed="false">
      <c r="A300" s="10" t="n">
        <v>16160645</v>
      </c>
      <c r="B300" s="10" t="n">
        <v>32.707</v>
      </c>
      <c r="C300" s="10" t="n">
        <v>57.117</v>
      </c>
      <c r="D300" s="10" t="n">
        <v>69.312</v>
      </c>
      <c r="E300" s="0" t="n">
        <f aca="false">IFERROR(VLOOKUP(A300,'Ablesung ista &amp; Wasser'!E:E,1,0),"Nicht vorhanden")</f>
        <v>16160645</v>
      </c>
      <c r="F300" s="0" t="str">
        <f aca="false">IF(C300="Kaltwasser",E300-D300,"")</f>
        <v/>
      </c>
      <c r="G300" s="0" t="str">
        <f aca="false">IF(C300="Warmwasser",E300-D300,"")</f>
        <v/>
      </c>
      <c r="H300" s="118" t="str">
        <f aca="false">IF(C300="ista",E300,"")</f>
        <v/>
      </c>
    </row>
    <row r="301" customFormat="false" ht="13.5" hidden="false" customHeight="false" outlineLevel="0" collapsed="false">
      <c r="A301" s="10" t="n">
        <v>16160966</v>
      </c>
      <c r="B301" s="10" t="n">
        <v>32.905</v>
      </c>
      <c r="C301" s="10" t="n">
        <v>48.58</v>
      </c>
      <c r="D301" s="10" t="n">
        <v>59.99</v>
      </c>
      <c r="E301" s="0" t="n">
        <f aca="false">IFERROR(VLOOKUP(A301,'Ablesung ista &amp; Wasser'!E:E,1,0),"Nicht vorhanden")</f>
        <v>16160966</v>
      </c>
      <c r="F301" s="0" t="str">
        <f aca="false">IF(C301="Kaltwasser",E301-D301,"")</f>
        <v/>
      </c>
      <c r="G301" s="0" t="str">
        <f aca="false">IF(C301="Warmwasser",E301-D301,"")</f>
        <v/>
      </c>
      <c r="H301" s="118" t="str">
        <f aca="false">IF(C301="ista",E301,"")</f>
        <v/>
      </c>
    </row>
    <row r="302" customFormat="false" ht="13.5" hidden="false" customHeight="false" outlineLevel="0" collapsed="false">
      <c r="F302" s="0" t="str">
        <f aca="false">IF(C302="Kaltwasser",E302-D302,"")</f>
        <v/>
      </c>
      <c r="G302" s="0" t="str">
        <f aca="false">IF(C302="Warmwasser",E302-D302,"")</f>
        <v/>
      </c>
      <c r="H302" s="118" t="str">
        <f aca="false">IF(C302="ista",E302,"")</f>
        <v/>
      </c>
    </row>
    <row r="303" customFormat="false" ht="13.5" hidden="false" customHeight="false" outlineLevel="0" collapsed="false">
      <c r="F303" s="0" t="str">
        <f aca="false">IF(C303="Kaltwasser",E303-D303,"")</f>
        <v/>
      </c>
      <c r="G303" s="0" t="str">
        <f aca="false">IF(C303="Warmwasser",E303-D303,"")</f>
        <v/>
      </c>
      <c r="H303" s="118" t="str">
        <f aca="false">IF(C303="ista",E303,"")</f>
        <v/>
      </c>
    </row>
    <row r="304" customFormat="false" ht="13.5" hidden="false" customHeight="false" outlineLevel="0" collapsed="false">
      <c r="F304" s="0" t="str">
        <f aca="false">IF(C304="Kaltwasser",E304-D304,"")</f>
        <v/>
      </c>
      <c r="G304" s="0" t="str">
        <f aca="false">IF(C304="Warmwasser",E304-D304,"")</f>
        <v/>
      </c>
      <c r="H304" s="118" t="str">
        <f aca="false">IF(C304="ista",E304,"")</f>
        <v/>
      </c>
    </row>
    <row r="305" customFormat="false" ht="13.5" hidden="false" customHeight="false" outlineLevel="0" collapsed="false">
      <c r="F305" s="0" t="str">
        <f aca="false">IF(C305="Kaltwasser",E305-D305,"")</f>
        <v/>
      </c>
      <c r="G305" s="0" t="str">
        <f aca="false">IF(C305="Warmwasser",E305-D305,"")</f>
        <v/>
      </c>
      <c r="H305" s="118" t="str">
        <f aca="false">IF(C305="ista",E305,"")</f>
        <v/>
      </c>
    </row>
    <row r="306" customFormat="false" ht="13.5" hidden="false" customHeight="false" outlineLevel="0" collapsed="false">
      <c r="F306" s="0" t="str">
        <f aca="false">IF(C306="Kaltwasser",E306-D306,"")</f>
        <v/>
      </c>
      <c r="G306" s="0" t="str">
        <f aca="false">IF(C306="Warmwasser",E306-D306,"")</f>
        <v/>
      </c>
      <c r="H306" s="118" t="str">
        <f aca="false">IF(C306="ista",E306,"")</f>
        <v/>
      </c>
    </row>
    <row r="307" customFormat="false" ht="13.5" hidden="false" customHeight="false" outlineLevel="0" collapsed="false">
      <c r="F307" s="0" t="str">
        <f aca="false">IF(C307="Kaltwasser",E307-D307,"")</f>
        <v/>
      </c>
      <c r="G307" s="0" t="str">
        <f aca="false">IF(C307="Warmwasser",E307-D307,"")</f>
        <v/>
      </c>
      <c r="H307" s="118" t="str">
        <f aca="false">IF(C307="ista",E307,"")</f>
        <v/>
      </c>
    </row>
    <row r="308" customFormat="false" ht="13.5" hidden="false" customHeight="false" outlineLevel="0" collapsed="false">
      <c r="F308" s="0" t="str">
        <f aca="false">IF(C308="Kaltwasser",E308-D308,"")</f>
        <v/>
      </c>
      <c r="G308" s="0" t="str">
        <f aca="false">IF(C308="Warmwasser",E308-D308,"")</f>
        <v/>
      </c>
      <c r="H308" s="118" t="str">
        <f aca="false">IF(C308="ista",E308,"")</f>
        <v/>
      </c>
    </row>
    <row r="309" customFormat="false" ht="13.5" hidden="false" customHeight="false" outlineLevel="0" collapsed="false">
      <c r="F309" s="0" t="str">
        <f aca="false">IF(C309="Kaltwasser",E309-D309,"")</f>
        <v/>
      </c>
      <c r="G309" s="0" t="str">
        <f aca="false">IF(C309="Warmwasser",E309-D309,"")</f>
        <v/>
      </c>
      <c r="H309" s="118" t="str">
        <f aca="false">IF(C309="ista",E309,"")</f>
        <v/>
      </c>
    </row>
    <row r="310" customFormat="false" ht="13.5" hidden="false" customHeight="false" outlineLevel="0" collapsed="false">
      <c r="F310" s="0" t="str">
        <f aca="false">IF(C310="Kaltwasser",E310-D310,"")</f>
        <v/>
      </c>
      <c r="G310" s="0" t="str">
        <f aca="false">IF(C310="Warmwasser",E310-D310,"")</f>
        <v/>
      </c>
      <c r="H310" s="118" t="str">
        <f aca="false">IF(C310="ista",E310,"")</f>
        <v/>
      </c>
    </row>
    <row r="313" customFormat="false" ht="13.5" hidden="false" customHeight="false" outlineLevel="0" collapsed="false">
      <c r="A313" s="6"/>
    </row>
    <row r="314" customFormat="false" ht="13.5" hidden="false" customHeight="false" outlineLevel="0" collapsed="false">
      <c r="A314" s="6"/>
    </row>
    <row r="315" customFormat="false" ht="13.5" hidden="false" customHeight="false" outlineLevel="0" collapsed="false">
      <c r="A315" s="6"/>
    </row>
    <row r="316" customFormat="false" ht="13.5" hidden="false" customHeight="false" outlineLevel="0" collapsed="false">
      <c r="A316" s="6"/>
    </row>
    <row r="317" customFormat="false" ht="13.5" hidden="false" customHeight="false" outlineLevel="0" collapsed="false">
      <c r="A317" s="6"/>
    </row>
    <row r="318" customFormat="false" ht="13.5" hidden="false" customHeight="false" outlineLevel="0" collapsed="false">
      <c r="A318" s="6"/>
    </row>
    <row r="319" customFormat="false" ht="13.5" hidden="false" customHeight="false" outlineLevel="0" collapsed="false">
      <c r="A319" s="6"/>
    </row>
    <row r="320" customFormat="false" ht="13.5" hidden="false" customHeight="false" outlineLevel="0" collapsed="false">
      <c r="A320" s="6"/>
    </row>
    <row r="321" customFormat="false" ht="13.5" hidden="false" customHeight="false" outlineLevel="0" collapsed="false">
      <c r="A321" s="6"/>
    </row>
    <row r="322" customFormat="false" ht="13.5" hidden="false" customHeight="false" outlineLevel="0" collapsed="false">
      <c r="A322" s="6"/>
    </row>
    <row r="323" customFormat="false" ht="13.5" hidden="false" customHeight="false" outlineLevel="0" collapsed="false">
      <c r="A323" s="6"/>
    </row>
    <row r="324" customFormat="false" ht="13.5" hidden="false" customHeight="false" outlineLevel="0" collapsed="false">
      <c r="A324" s="6"/>
    </row>
  </sheetData>
  <printOptions headings="false" gridLines="false" gridLinesSet="true" horizontalCentered="false" verticalCentered="false"/>
  <pageMargins left="0" right="0" top="0.39375" bottom="0.39375" header="0.511811023622047" footer="0.511811023622047"/>
  <pageSetup paperSize="77" scale="100" fitToWidth="1" fitToHeight="1" pageOrder="overThenDown" orientation="landscape"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87"/>
  <sheetViews>
    <sheetView showFormulas="false" showGridLines="true" showRowColHeaders="true" showZeros="true" rightToLeft="false" tabSelected="false" showOutlineSymbols="true" defaultGridColor="true" view="normal" topLeftCell="A19" colorId="64" zoomScale="100" zoomScaleNormal="100" zoomScalePageLayoutView="100" workbookViewId="0">
      <selection pane="topLeft" activeCell="B25" activeCellId="1" sqref="G4:G37 B25"/>
    </sheetView>
  </sheetViews>
  <sheetFormatPr defaultColWidth="10.57421875" defaultRowHeight="13.5" zeroHeight="false" outlineLevelRow="0" outlineLevelCol="0"/>
  <cols>
    <col collapsed="false" customWidth="true" hidden="false" outlineLevel="0" max="1" min="1" style="125" width="20.59"/>
    <col collapsed="false" customWidth="true" hidden="false" outlineLevel="0" max="2" min="2" style="125" width="30.67"/>
    <col collapsed="false" customWidth="true" hidden="false" outlineLevel="0" max="3" min="3" style="125" width="26.08"/>
    <col collapsed="false" customWidth="true" hidden="false" outlineLevel="0" max="4" min="4" style="125" width="24"/>
    <col collapsed="false" customWidth="true" hidden="false" outlineLevel="0" max="5" min="5" style="125" width="25.75"/>
    <col collapsed="false" customWidth="true" hidden="false" outlineLevel="0" max="34" min="6" style="125" width="5.82"/>
    <col collapsed="false" customWidth="true" hidden="false" outlineLevel="0" max="35" min="35" style="125" width="6.25"/>
    <col collapsed="false" customWidth="true" hidden="false" outlineLevel="0" max="36" min="36" style="125" width="15.52"/>
    <col collapsed="false" customWidth="true" hidden="false" outlineLevel="0" max="37" min="37" style="125" width="19.75"/>
    <col collapsed="false" customWidth="false" hidden="false" outlineLevel="0" max="38" min="38" style="125" width="10.58"/>
    <col collapsed="false" customWidth="true" hidden="false" outlineLevel="0" max="39" min="39" style="125" width="12.5"/>
    <col collapsed="false" customWidth="true" hidden="false" outlineLevel="0" max="40" min="40" style="125" width="3.83"/>
    <col collapsed="false" customWidth="true" hidden="false" outlineLevel="0" max="41" min="41" style="125" width="15.33"/>
    <col collapsed="false" customWidth="true" hidden="false" outlineLevel="0" max="42" min="42" style="125" width="15"/>
    <col collapsed="false" customWidth="true" hidden="false" outlineLevel="0" max="43" min="43" style="125" width="6.25"/>
    <col collapsed="false" customWidth="true" hidden="false" outlineLevel="0" max="44" min="44" style="125" width="15.52"/>
    <col collapsed="false" customWidth="false" hidden="false" outlineLevel="0" max="1024" min="45" style="125" width="10.58"/>
  </cols>
  <sheetData>
    <row r="1" customFormat="false" ht="13.5" hidden="false" customHeight="false" outlineLevel="0" collapsed="false">
      <c r="A1" s="167"/>
      <c r="B1" s="167"/>
      <c r="C1" s="168"/>
      <c r="D1" s="167"/>
      <c r="E1" s="167"/>
    </row>
    <row r="2" customFormat="false" ht="13.5" hidden="false" customHeight="false" outlineLevel="0" collapsed="false">
      <c r="A2" s="168"/>
      <c r="B2" s="168"/>
      <c r="C2" s="169"/>
      <c r="D2" s="169"/>
      <c r="E2" s="169"/>
    </row>
    <row r="3" customFormat="false" ht="13.5" hidden="false" customHeight="false" outlineLevel="0" collapsed="false">
      <c r="A3" s="169"/>
      <c r="B3" s="170"/>
      <c r="C3" s="171"/>
      <c r="D3" s="171"/>
      <c r="E3" s="172"/>
    </row>
    <row r="4" customFormat="false" ht="13.5" hidden="false" customHeight="false" outlineLevel="0" collapsed="false">
      <c r="A4" s="170"/>
      <c r="B4" s="169"/>
      <c r="C4" s="171"/>
      <c r="D4" s="171"/>
      <c r="E4" s="172"/>
    </row>
    <row r="5" customFormat="false" ht="13.5" hidden="false" customHeight="false" outlineLevel="0" collapsed="false">
      <c r="A5" s="169"/>
      <c r="B5" s="170"/>
      <c r="C5" s="171"/>
      <c r="D5" s="171"/>
      <c r="E5" s="172"/>
    </row>
    <row r="6" customFormat="false" ht="13.5" hidden="false" customHeight="false" outlineLevel="0" collapsed="false">
      <c r="A6" s="170"/>
      <c r="B6" s="169"/>
      <c r="C6" s="171"/>
      <c r="D6" s="171"/>
      <c r="E6" s="172"/>
    </row>
    <row r="7" customFormat="false" ht="13.5" hidden="false" customHeight="false" outlineLevel="0" collapsed="false">
      <c r="A7" s="173"/>
      <c r="B7" s="174" t="s">
        <v>480</v>
      </c>
      <c r="C7" s="175"/>
      <c r="D7" s="176"/>
    </row>
    <row r="8" customFormat="false" ht="13.5" hidden="false" customHeight="false" outlineLevel="0" collapsed="false">
      <c r="A8" s="177" t="s">
        <v>306</v>
      </c>
      <c r="B8" s="178" t="s">
        <v>481</v>
      </c>
      <c r="C8" s="179" t="s">
        <v>482</v>
      </c>
      <c r="D8" s="180" t="s">
        <v>483</v>
      </c>
    </row>
    <row r="9" customFormat="false" ht="13.5" hidden="false" customHeight="false" outlineLevel="0" collapsed="false">
      <c r="A9" s="181" t="s">
        <v>204</v>
      </c>
      <c r="B9" s="182" t="n">
        <v>35.736</v>
      </c>
      <c r="C9" s="183" t="n">
        <v>16.748</v>
      </c>
      <c r="D9" s="184" t="n">
        <v>8973</v>
      </c>
    </row>
    <row r="10" customFormat="false" ht="13.5" hidden="false" customHeight="false" outlineLevel="0" collapsed="false">
      <c r="A10" s="185" t="s">
        <v>207</v>
      </c>
      <c r="B10" s="186" t="n">
        <v>6.60600000000001</v>
      </c>
      <c r="C10" s="187" t="n">
        <v>3.373</v>
      </c>
      <c r="D10" s="188" t="n">
        <v>4120</v>
      </c>
    </row>
    <row r="11" customFormat="false" ht="13.5" hidden="false" customHeight="false" outlineLevel="0" collapsed="false">
      <c r="A11" s="185" t="s">
        <v>210</v>
      </c>
      <c r="B11" s="186" t="n">
        <v>20.472</v>
      </c>
      <c r="C11" s="187" t="n">
        <v>7.457</v>
      </c>
      <c r="D11" s="188" t="n">
        <v>2477</v>
      </c>
    </row>
    <row r="12" customFormat="false" ht="13.5" hidden="false" customHeight="false" outlineLevel="0" collapsed="false">
      <c r="A12" s="185" t="s">
        <v>212</v>
      </c>
      <c r="B12" s="186" t="n">
        <v>9.24100000000001</v>
      </c>
      <c r="C12" s="187" t="n">
        <v>4.64900000000001</v>
      </c>
      <c r="D12" s="188" t="n">
        <v>5003</v>
      </c>
    </row>
    <row r="13" customFormat="false" ht="13.5" hidden="false" customHeight="false" outlineLevel="0" collapsed="false">
      <c r="A13" s="185" t="s">
        <v>215</v>
      </c>
      <c r="B13" s="186" t="n">
        <v>18.591</v>
      </c>
      <c r="C13" s="187" t="n">
        <v>6.466</v>
      </c>
      <c r="D13" s="188" t="n">
        <v>1203</v>
      </c>
    </row>
    <row r="14" customFormat="false" ht="13.5" hidden="false" customHeight="false" outlineLevel="0" collapsed="false">
      <c r="A14" s="185" t="s">
        <v>217</v>
      </c>
      <c r="B14" s="186" t="n">
        <v>43.957</v>
      </c>
      <c r="C14" s="187" t="n">
        <v>19.979</v>
      </c>
      <c r="D14" s="188" t="n">
        <v>1573</v>
      </c>
    </row>
    <row r="15" customFormat="false" ht="13.5" hidden="false" customHeight="false" outlineLevel="0" collapsed="false">
      <c r="A15" s="185" t="s">
        <v>220</v>
      </c>
      <c r="B15" s="186" t="n">
        <v>13.226</v>
      </c>
      <c r="C15" s="187" t="n">
        <v>7.128</v>
      </c>
      <c r="D15" s="188" t="n">
        <v>2749</v>
      </c>
    </row>
    <row r="16" customFormat="false" ht="13.5" hidden="false" customHeight="false" outlineLevel="0" collapsed="false">
      <c r="A16" s="185" t="s">
        <v>223</v>
      </c>
      <c r="B16" s="186" t="n">
        <v>2.506</v>
      </c>
      <c r="C16" s="187" t="n">
        <v>0.554000000000002</v>
      </c>
      <c r="D16" s="188" t="n">
        <v>1102</v>
      </c>
    </row>
    <row r="17" customFormat="false" ht="13.5" hidden="false" customHeight="false" outlineLevel="0" collapsed="false">
      <c r="A17" s="185" t="s">
        <v>225</v>
      </c>
      <c r="B17" s="186" t="n">
        <v>37.667</v>
      </c>
      <c r="C17" s="187" t="n">
        <v>4</v>
      </c>
      <c r="D17" s="188" t="n">
        <v>4780</v>
      </c>
    </row>
    <row r="18" customFormat="false" ht="13.5" hidden="false" customHeight="false" outlineLevel="0" collapsed="false">
      <c r="A18" s="185" t="s">
        <v>228</v>
      </c>
      <c r="B18" s="186" t="n">
        <v>29.275</v>
      </c>
      <c r="C18" s="187" t="n">
        <v>8.339</v>
      </c>
      <c r="D18" s="188" t="n">
        <v>14060</v>
      </c>
    </row>
    <row r="19" customFormat="false" ht="13.5" hidden="false" customHeight="false" outlineLevel="0" collapsed="false">
      <c r="A19" s="185" t="s">
        <v>231</v>
      </c>
      <c r="B19" s="186" t="n">
        <v>19.344</v>
      </c>
      <c r="C19" s="187" t="n">
        <v>11.964</v>
      </c>
      <c r="D19" s="188" t="n">
        <v>7476</v>
      </c>
    </row>
    <row r="20" customFormat="false" ht="13.5" hidden="false" customHeight="false" outlineLevel="0" collapsed="false">
      <c r="A20" s="185" t="s">
        <v>235</v>
      </c>
      <c r="B20" s="186" t="n">
        <v>189.455</v>
      </c>
      <c r="C20" s="187" t="n">
        <v>80.11</v>
      </c>
      <c r="D20" s="188" t="n">
        <v>12655</v>
      </c>
    </row>
    <row r="21" customFormat="false" ht="13.5" hidden="false" customHeight="false" outlineLevel="0" collapsed="false">
      <c r="A21" s="185" t="s">
        <v>238</v>
      </c>
      <c r="B21" s="186" t="n">
        <v>22.013</v>
      </c>
      <c r="C21" s="187" t="n">
        <v>17.105</v>
      </c>
      <c r="D21" s="188" t="n">
        <v>602</v>
      </c>
    </row>
    <row r="22" customFormat="false" ht="13.5" hidden="false" customHeight="false" outlineLevel="0" collapsed="false">
      <c r="A22" s="185" t="s">
        <v>241</v>
      </c>
      <c r="B22" s="186" t="n">
        <v>14.321</v>
      </c>
      <c r="C22" s="187" t="n">
        <v>49.885</v>
      </c>
      <c r="D22" s="188" t="n">
        <v>3742</v>
      </c>
    </row>
    <row r="23" customFormat="false" ht="13.5" hidden="false" customHeight="false" outlineLevel="0" collapsed="false">
      <c r="A23" s="185" t="s">
        <v>244</v>
      </c>
      <c r="B23" s="186" t="n">
        <v>56.026</v>
      </c>
      <c r="C23" s="187" t="n">
        <v>23.465</v>
      </c>
      <c r="D23" s="188" t="n">
        <v>11301</v>
      </c>
    </row>
    <row r="24" customFormat="false" ht="13.5" hidden="false" customHeight="false" outlineLevel="0" collapsed="false">
      <c r="A24" s="185" t="s">
        <v>247</v>
      </c>
      <c r="B24" s="186" t="n">
        <v>50.897</v>
      </c>
      <c r="C24" s="187" t="n">
        <v>17.192</v>
      </c>
      <c r="D24" s="188" t="n">
        <v>4113</v>
      </c>
    </row>
    <row r="25" customFormat="false" ht="13.5" hidden="false" customHeight="false" outlineLevel="0" collapsed="false">
      <c r="A25" s="185" t="s">
        <v>250</v>
      </c>
      <c r="B25" s="186" t="n">
        <v>56.901</v>
      </c>
      <c r="C25" s="187" t="n">
        <v>25.918</v>
      </c>
      <c r="D25" s="188" t="n">
        <v>3678</v>
      </c>
    </row>
    <row r="26" customFormat="false" ht="13.5" hidden="false" customHeight="false" outlineLevel="0" collapsed="false">
      <c r="A26" s="185" t="s">
        <v>253</v>
      </c>
      <c r="B26" s="186" t="n">
        <v>34.59</v>
      </c>
      <c r="C26" s="187" t="n">
        <v>18.27</v>
      </c>
      <c r="D26" s="188" t="n">
        <v>5601</v>
      </c>
    </row>
    <row r="27" customFormat="false" ht="13.5" hidden="false" customHeight="false" outlineLevel="0" collapsed="false">
      <c r="A27" s="185" t="s">
        <v>257</v>
      </c>
      <c r="B27" s="186" t="n">
        <v>14.8</v>
      </c>
      <c r="C27" s="187" t="n">
        <v>4.4</v>
      </c>
      <c r="D27" s="188" t="n">
        <v>4869</v>
      </c>
    </row>
    <row r="28" customFormat="false" ht="13.5" hidden="false" customHeight="false" outlineLevel="0" collapsed="false">
      <c r="A28" s="185" t="s">
        <v>260</v>
      </c>
      <c r="B28" s="186" t="n">
        <v>47.732</v>
      </c>
      <c r="C28" s="187" t="n">
        <v>19.281</v>
      </c>
      <c r="D28" s="188" t="n">
        <v>7165</v>
      </c>
    </row>
    <row r="29" customFormat="false" ht="13.5" hidden="false" customHeight="false" outlineLevel="0" collapsed="false">
      <c r="A29" s="185" t="s">
        <v>263</v>
      </c>
      <c r="B29" s="186" t="n">
        <v>38.665</v>
      </c>
      <c r="C29" s="187" t="n">
        <v>19.871</v>
      </c>
      <c r="D29" s="188" t="n">
        <v>4641</v>
      </c>
    </row>
    <row r="30" customFormat="false" ht="13.5" hidden="false" customHeight="false" outlineLevel="0" collapsed="false">
      <c r="A30" s="185" t="s">
        <v>266</v>
      </c>
      <c r="B30" s="186" t="n">
        <v>34.992</v>
      </c>
      <c r="C30" s="187" t="n">
        <v>11.467</v>
      </c>
      <c r="D30" s="188" t="n">
        <v>5007</v>
      </c>
    </row>
    <row r="31" customFormat="false" ht="13.5" hidden="false" customHeight="false" outlineLevel="0" collapsed="false">
      <c r="A31" s="185" t="s">
        <v>269</v>
      </c>
      <c r="B31" s="186" t="n">
        <v>50.185</v>
      </c>
      <c r="C31" s="187" t="n">
        <v>24.084</v>
      </c>
      <c r="D31" s="188" t="n">
        <v>2891</v>
      </c>
    </row>
    <row r="32" customFormat="false" ht="13.5" hidden="false" customHeight="false" outlineLevel="0" collapsed="false">
      <c r="A32" s="185" t="s">
        <v>272</v>
      </c>
      <c r="B32" s="186" t="n">
        <v>73.589</v>
      </c>
      <c r="C32" s="187" t="n">
        <v>24.32</v>
      </c>
      <c r="D32" s="188" t="n">
        <v>14655</v>
      </c>
    </row>
    <row r="33" customFormat="false" ht="13.5" hidden="false" customHeight="false" outlineLevel="0" collapsed="false">
      <c r="A33" s="185" t="s">
        <v>275</v>
      </c>
      <c r="B33" s="186" t="n">
        <v>94.586</v>
      </c>
      <c r="C33" s="187" t="n">
        <v>37.79</v>
      </c>
      <c r="D33" s="188" t="n">
        <v>5000</v>
      </c>
    </row>
    <row r="34" customFormat="false" ht="13.5" hidden="false" customHeight="false" outlineLevel="0" collapsed="false">
      <c r="A34" s="185" t="s">
        <v>278</v>
      </c>
      <c r="B34" s="186" t="n">
        <v>15.631</v>
      </c>
      <c r="C34" s="187" t="n">
        <v>8.123</v>
      </c>
      <c r="D34" s="188" t="n">
        <v>1054</v>
      </c>
    </row>
    <row r="35" customFormat="false" ht="13.5" hidden="false" customHeight="false" outlineLevel="0" collapsed="false">
      <c r="A35" s="185" t="s">
        <v>281</v>
      </c>
      <c r="B35" s="186" t="n">
        <v>13.097</v>
      </c>
      <c r="C35" s="187" t="n">
        <v>6.982</v>
      </c>
      <c r="D35" s="188" t="n">
        <v>708</v>
      </c>
    </row>
    <row r="36" customFormat="false" ht="13.5" hidden="false" customHeight="false" outlineLevel="0" collapsed="false">
      <c r="A36" s="185" t="s">
        <v>284</v>
      </c>
      <c r="B36" s="186" t="n">
        <v>13.956</v>
      </c>
      <c r="C36" s="187" t="n">
        <v>6.40599999999999</v>
      </c>
      <c r="D36" s="188" t="n">
        <v>738</v>
      </c>
    </row>
    <row r="37" customFormat="false" ht="13.5" hidden="false" customHeight="false" outlineLevel="0" collapsed="false">
      <c r="A37" s="185" t="s">
        <v>286</v>
      </c>
      <c r="B37" s="186" t="n">
        <v>3.066</v>
      </c>
      <c r="C37" s="187" t="n">
        <v>2.455</v>
      </c>
      <c r="D37" s="188" t="n">
        <v>3664</v>
      </c>
    </row>
    <row r="38" customFormat="false" ht="13.5" hidden="false" customHeight="false" outlineLevel="0" collapsed="false">
      <c r="A38" s="185" t="s">
        <v>289</v>
      </c>
      <c r="B38" s="186" t="n">
        <v>43.414</v>
      </c>
      <c r="C38" s="187" t="n">
        <v>14.06</v>
      </c>
      <c r="D38" s="188" t="n">
        <v>6326</v>
      </c>
    </row>
    <row r="39" customFormat="false" ht="13.5" hidden="false" customHeight="false" outlineLevel="0" collapsed="false">
      <c r="A39" s="185" t="s">
        <v>292</v>
      </c>
      <c r="B39" s="186" t="n">
        <v>86.817</v>
      </c>
      <c r="C39" s="187" t="n">
        <v>27.337</v>
      </c>
      <c r="D39" s="188" t="n">
        <v>22044</v>
      </c>
    </row>
    <row r="40" customFormat="false" ht="13.5" hidden="false" customHeight="false" outlineLevel="0" collapsed="false">
      <c r="A40" s="185" t="s">
        <v>295</v>
      </c>
      <c r="B40" s="186" t="n">
        <v>74.773</v>
      </c>
      <c r="C40" s="187" t="n">
        <v>38.319</v>
      </c>
      <c r="D40" s="188" t="n">
        <v>8848</v>
      </c>
    </row>
    <row r="41" customFormat="false" ht="13.5" hidden="false" customHeight="false" outlineLevel="0" collapsed="false">
      <c r="A41" s="185" t="s">
        <v>298</v>
      </c>
      <c r="B41" s="186" t="n">
        <v>67.584</v>
      </c>
      <c r="C41" s="187" t="n">
        <v>30.071</v>
      </c>
      <c r="D41" s="188" t="n">
        <v>7533</v>
      </c>
    </row>
    <row r="42" customFormat="false" ht="13.5" hidden="false" customHeight="false" outlineLevel="0" collapsed="false">
      <c r="A42" s="185" t="s">
        <v>301</v>
      </c>
      <c r="B42" s="186" t="n">
        <v>61.208</v>
      </c>
      <c r="C42" s="187" t="n">
        <v>28.118</v>
      </c>
      <c r="D42" s="188" t="n">
        <v>25057</v>
      </c>
    </row>
    <row r="43" customFormat="false" ht="13.5" hidden="false" customHeight="false" outlineLevel="0" collapsed="false">
      <c r="A43" s="185" t="s">
        <v>484</v>
      </c>
      <c r="B43" s="189"/>
      <c r="C43" s="190"/>
      <c r="D43" s="191"/>
    </row>
    <row r="44" customFormat="false" ht="13.5" hidden="false" customHeight="false" outlineLevel="0" collapsed="false">
      <c r="A44" s="192" t="s">
        <v>485</v>
      </c>
      <c r="B44" s="193" t="n">
        <v>1394.919</v>
      </c>
      <c r="C44" s="194" t="n">
        <v>625.686</v>
      </c>
      <c r="D44" s="195" t="n">
        <v>215408</v>
      </c>
    </row>
    <row r="52" customFormat="false" ht="13.5" hidden="false" customHeight="false" outlineLevel="0" collapsed="false">
      <c r="B52" s="169"/>
      <c r="C52" s="171"/>
      <c r="D52" s="171"/>
      <c r="E52" s="172"/>
    </row>
    <row r="53" customFormat="false" ht="13.5" hidden="false" customHeight="false" outlineLevel="0" collapsed="false">
      <c r="B53" s="170"/>
      <c r="C53" s="171"/>
      <c r="D53" s="171"/>
      <c r="E53" s="172"/>
    </row>
    <row r="54" customFormat="false" ht="13.5" hidden="false" customHeight="false" outlineLevel="0" collapsed="false">
      <c r="B54" s="169"/>
      <c r="C54" s="171"/>
      <c r="D54" s="171"/>
      <c r="E54" s="172"/>
    </row>
    <row r="55" customFormat="false" ht="13.5" hidden="false" customHeight="false" outlineLevel="0" collapsed="false">
      <c r="B55" s="170"/>
      <c r="C55" s="171"/>
      <c r="D55" s="171"/>
      <c r="E55" s="172"/>
    </row>
    <row r="56" customFormat="false" ht="13.5" hidden="false" customHeight="false" outlineLevel="0" collapsed="false">
      <c r="B56" s="169"/>
      <c r="C56" s="171"/>
      <c r="D56" s="171"/>
      <c r="E56" s="172"/>
    </row>
    <row r="57" customFormat="false" ht="13.5" hidden="false" customHeight="false" outlineLevel="0" collapsed="false">
      <c r="B57" s="170"/>
      <c r="C57" s="171"/>
      <c r="D57" s="171"/>
      <c r="E57" s="172"/>
    </row>
    <row r="58" customFormat="false" ht="13.5" hidden="false" customHeight="false" outlineLevel="0" collapsed="false">
      <c r="B58" s="169"/>
      <c r="C58" s="171"/>
      <c r="D58" s="171"/>
      <c r="E58" s="172"/>
    </row>
    <row r="59" customFormat="false" ht="13.5" hidden="false" customHeight="false" outlineLevel="0" collapsed="false">
      <c r="B59" s="170"/>
      <c r="C59" s="171"/>
      <c r="D59" s="171"/>
      <c r="E59" s="172"/>
    </row>
    <row r="60" customFormat="false" ht="13.5" hidden="false" customHeight="false" outlineLevel="0" collapsed="false">
      <c r="B60" s="169"/>
      <c r="C60" s="171"/>
      <c r="D60" s="171"/>
      <c r="E60" s="172"/>
    </row>
    <row r="61" customFormat="false" ht="13.5" hidden="false" customHeight="false" outlineLevel="0" collapsed="false">
      <c r="B61" s="170"/>
      <c r="C61" s="171"/>
      <c r="D61" s="171"/>
      <c r="E61" s="171"/>
    </row>
    <row r="62" customFormat="false" ht="13.5" hidden="false" customHeight="false" outlineLevel="0" collapsed="false">
      <c r="B62" s="169"/>
      <c r="C62" s="171"/>
      <c r="D62" s="171"/>
      <c r="E62" s="171"/>
    </row>
    <row r="63" customFormat="false" ht="13.5" hidden="false" customHeight="false" outlineLevel="0" collapsed="false">
      <c r="B63" s="170"/>
      <c r="C63" s="171"/>
      <c r="D63" s="171"/>
      <c r="E63" s="171"/>
    </row>
    <row r="64" customFormat="false" ht="13.5" hidden="false" customHeight="false" outlineLevel="0" collapsed="false">
      <c r="B64" s="169"/>
      <c r="C64" s="171"/>
      <c r="D64" s="171"/>
      <c r="E64" s="171"/>
    </row>
    <row r="65" customFormat="false" ht="13.5" hidden="false" customHeight="false" outlineLevel="0" collapsed="false">
      <c r="B65" s="170"/>
      <c r="C65" s="171"/>
      <c r="D65" s="171"/>
      <c r="E65" s="171"/>
    </row>
    <row r="66" customFormat="false" ht="13.5" hidden="false" customHeight="false" outlineLevel="0" collapsed="false">
      <c r="B66" s="169"/>
      <c r="C66" s="171"/>
      <c r="D66" s="171"/>
      <c r="E66" s="171"/>
    </row>
    <row r="67" customFormat="false" ht="13.5" hidden="false" customHeight="false" outlineLevel="0" collapsed="false">
      <c r="B67" s="170"/>
      <c r="C67" s="171"/>
      <c r="D67" s="171"/>
      <c r="E67" s="171"/>
    </row>
    <row r="68" customFormat="false" ht="13.5" hidden="false" customHeight="false" outlineLevel="0" collapsed="false">
      <c r="B68" s="169"/>
      <c r="C68" s="171"/>
      <c r="D68" s="171"/>
      <c r="E68" s="171"/>
    </row>
    <row r="69" customFormat="false" ht="13.5" hidden="false" customHeight="false" outlineLevel="0" collapsed="false">
      <c r="B69" s="170"/>
      <c r="C69" s="171"/>
      <c r="D69" s="171"/>
      <c r="E69" s="171"/>
    </row>
    <row r="70" customFormat="false" ht="13.5" hidden="false" customHeight="false" outlineLevel="0" collapsed="false">
      <c r="B70" s="169"/>
      <c r="C70" s="171"/>
      <c r="D70" s="171"/>
      <c r="E70" s="171"/>
    </row>
    <row r="71" customFormat="false" ht="13.5" hidden="false" customHeight="false" outlineLevel="0" collapsed="false">
      <c r="B71" s="170"/>
      <c r="C71" s="171"/>
      <c r="D71" s="171"/>
      <c r="E71" s="171"/>
    </row>
    <row r="72" customFormat="false" ht="13.5" hidden="false" customHeight="false" outlineLevel="0" collapsed="false">
      <c r="B72" s="169"/>
      <c r="C72" s="171"/>
      <c r="D72" s="171"/>
      <c r="E72" s="171"/>
    </row>
    <row r="73" customFormat="false" ht="13.5" hidden="false" customHeight="false" outlineLevel="0" collapsed="false">
      <c r="B73" s="170"/>
      <c r="C73" s="171"/>
      <c r="D73" s="171"/>
      <c r="E73" s="171"/>
    </row>
    <row r="74" customFormat="false" ht="13.5" hidden="false" customHeight="false" outlineLevel="0" collapsed="false">
      <c r="B74" s="169"/>
      <c r="C74" s="171"/>
      <c r="D74" s="171"/>
      <c r="E74" s="171"/>
    </row>
    <row r="75" customFormat="false" ht="13.5" hidden="false" customHeight="false" outlineLevel="0" collapsed="false">
      <c r="B75" s="170"/>
      <c r="C75" s="171"/>
      <c r="D75" s="171"/>
      <c r="E75" s="171"/>
    </row>
    <row r="76" customFormat="false" ht="13.5" hidden="false" customHeight="false" outlineLevel="0" collapsed="false">
      <c r="B76" s="169"/>
      <c r="C76" s="171"/>
      <c r="D76" s="171"/>
      <c r="E76" s="171"/>
    </row>
    <row r="77" customFormat="false" ht="13.5" hidden="false" customHeight="false" outlineLevel="0" collapsed="false">
      <c r="B77" s="170"/>
      <c r="C77" s="171"/>
      <c r="D77" s="171"/>
      <c r="E77" s="171"/>
    </row>
    <row r="78" customFormat="false" ht="13.5" hidden="false" customHeight="false" outlineLevel="0" collapsed="false">
      <c r="B78" s="169"/>
      <c r="C78" s="171"/>
      <c r="D78" s="171"/>
      <c r="E78" s="171"/>
    </row>
    <row r="79" customFormat="false" ht="13.5" hidden="false" customHeight="false" outlineLevel="0" collapsed="false">
      <c r="B79" s="170"/>
      <c r="C79" s="171"/>
      <c r="D79" s="171"/>
      <c r="E79" s="171"/>
    </row>
    <row r="80" customFormat="false" ht="13.5" hidden="false" customHeight="false" outlineLevel="0" collapsed="false">
      <c r="B80" s="169"/>
      <c r="C80" s="171"/>
      <c r="D80" s="171"/>
      <c r="E80" s="171"/>
    </row>
    <row r="81" customFormat="false" ht="13.5" hidden="false" customHeight="false" outlineLevel="0" collapsed="false">
      <c r="B81" s="170"/>
      <c r="C81" s="171"/>
      <c r="D81" s="171"/>
      <c r="E81" s="171"/>
    </row>
    <row r="82" customFormat="false" ht="13.5" hidden="false" customHeight="false" outlineLevel="0" collapsed="false">
      <c r="B82" s="169"/>
      <c r="C82" s="171"/>
      <c r="D82" s="171"/>
      <c r="E82" s="171"/>
    </row>
    <row r="83" customFormat="false" ht="13.5" hidden="false" customHeight="false" outlineLevel="0" collapsed="false">
      <c r="B83" s="170"/>
      <c r="C83" s="171"/>
      <c r="D83" s="171"/>
      <c r="E83" s="171"/>
    </row>
    <row r="84" customFormat="false" ht="13.5" hidden="false" customHeight="false" outlineLevel="0" collapsed="false">
      <c r="B84" s="169"/>
      <c r="C84" s="171"/>
      <c r="D84" s="171"/>
      <c r="E84" s="171"/>
    </row>
    <row r="85" customFormat="false" ht="13.5" hidden="false" customHeight="false" outlineLevel="0" collapsed="false">
      <c r="B85" s="170"/>
      <c r="C85" s="171"/>
      <c r="D85" s="171"/>
      <c r="E85" s="171"/>
    </row>
    <row r="86" customFormat="false" ht="13.5" hidden="false" customHeight="false" outlineLevel="0" collapsed="false">
      <c r="B86" s="169"/>
      <c r="C86" s="171"/>
      <c r="D86" s="171"/>
      <c r="E86" s="171"/>
    </row>
    <row r="87" customFormat="false" ht="13.5" hidden="false" customHeight="false" outlineLevel="0" collapsed="false">
      <c r="B87" s="196"/>
      <c r="C87" s="197"/>
      <c r="D87" s="197"/>
      <c r="E87" s="198"/>
    </row>
  </sheetData>
  <printOptions headings="false" gridLines="false" gridLinesSet="true" horizontalCentered="false" verticalCentered="false"/>
  <pageMargins left="0" right="0" top="0.39375" bottom="0.39375" header="0.511811023622047" footer="0.511811023622047"/>
  <pageSetup paperSize="9" scale="100" fitToWidth="1" fitToHeight="1" pageOrder="overThenDown"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G4:G37 A1"/>
    </sheetView>
  </sheetViews>
  <sheetFormatPr defaultColWidth="10.6015625" defaultRowHeight="13.5" zeroHeight="false" outlineLevelRow="0" outlineLevelCol="0"/>
  <sheetData/>
  <printOptions headings="false" gridLines="false" gridLinesSet="true" horizontalCentered="false" verticalCentered="false"/>
  <pageMargins left="0.7" right="0.7"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G4:G37 A1"/>
    </sheetView>
  </sheetViews>
  <sheetFormatPr defaultColWidth="10.6015625" defaultRowHeight="13.5" zeroHeight="false" outlineLevelRow="0" outlineLevelCol="0"/>
  <sheetData/>
  <printOptions headings="false" gridLines="false" gridLinesSet="true" horizontalCentered="false" verticalCentered="false"/>
  <pageMargins left="0.7" right="0.7"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G4:G37 A1"/>
    </sheetView>
  </sheetViews>
  <sheetFormatPr defaultColWidth="10.56640625" defaultRowHeight="13.5" zeroHeight="false" outlineLevelRow="0" outlineLevelCol="0"/>
  <sheetData>
    <row r="1" customFormat="false" ht="13.5" hidden="false" customHeight="false" outlineLevel="0" collapsed="false">
      <c r="A1" s="0" t="s">
        <v>307</v>
      </c>
      <c r="B1" s="0" t="s">
        <v>486</v>
      </c>
      <c r="C1" s="0" t="s">
        <v>487</v>
      </c>
    </row>
    <row r="2" customFormat="false" ht="13.5" hidden="false" customHeight="false" outlineLevel="0" collapsed="false">
      <c r="A2" s="0" t="s">
        <v>205</v>
      </c>
      <c r="B2" s="30" t="n">
        <v>46.2836345115835</v>
      </c>
      <c r="C2" s="30" t="n">
        <v>408.7888</v>
      </c>
    </row>
    <row r="3" customFormat="false" ht="13.5" hidden="false" customHeight="false" outlineLevel="0" collapsed="false">
      <c r="A3" s="0" t="s">
        <v>208</v>
      </c>
      <c r="B3" s="30" t="n">
        <v>30.8557563410557</v>
      </c>
      <c r="C3" s="30" t="n">
        <v>284.2406</v>
      </c>
    </row>
    <row r="4" customFormat="false" ht="13.5" hidden="false" customHeight="false" outlineLevel="0" collapsed="false">
      <c r="A4" s="0" t="s">
        <v>213</v>
      </c>
      <c r="B4" s="30" t="n">
        <v>77.1393908526392</v>
      </c>
      <c r="C4" s="30" t="n">
        <v>487.795</v>
      </c>
    </row>
    <row r="5" customFormat="false" ht="13.5" hidden="false" customHeight="false" outlineLevel="0" collapsed="false">
      <c r="A5" s="0" t="s">
        <v>218</v>
      </c>
      <c r="B5" s="30" t="n">
        <v>38.5696954263196</v>
      </c>
      <c r="C5" s="30" t="n">
        <v>379.799</v>
      </c>
    </row>
    <row r="6" customFormat="false" ht="13.5" hidden="false" customHeight="false" outlineLevel="0" collapsed="false">
      <c r="A6" s="0" t="s">
        <v>221</v>
      </c>
      <c r="B6" s="30" t="n">
        <v>30.8557563410557</v>
      </c>
      <c r="C6" s="30" t="n">
        <v>167.9804</v>
      </c>
    </row>
    <row r="7" customFormat="false" ht="13.5" hidden="false" customHeight="false" outlineLevel="0" collapsed="false">
      <c r="A7" s="0" t="s">
        <v>226</v>
      </c>
      <c r="B7" s="30" t="n">
        <v>87.4246429663243</v>
      </c>
      <c r="C7" s="30" t="n">
        <v>1693.6528</v>
      </c>
    </row>
    <row r="8" customFormat="false" ht="13.5" hidden="false" customHeight="false" outlineLevel="0" collapsed="false">
      <c r="A8" s="0" t="s">
        <v>229</v>
      </c>
      <c r="B8" s="30" t="n">
        <v>30.8557563410557</v>
      </c>
      <c r="C8" s="30" t="n">
        <v>726.8352</v>
      </c>
    </row>
    <row r="9" customFormat="false" ht="13.5" hidden="false" customHeight="false" outlineLevel="0" collapsed="false">
      <c r="A9" s="0" t="s">
        <v>232</v>
      </c>
      <c r="B9" s="30" t="n">
        <v>30.8557563410557</v>
      </c>
      <c r="C9" s="30" t="n">
        <v>435.1676</v>
      </c>
    </row>
    <row r="10" customFormat="false" ht="13.5" hidden="false" customHeight="false" outlineLevel="0" collapsed="false">
      <c r="A10" s="0" t="s">
        <v>332</v>
      </c>
      <c r="B10" s="30" t="n">
        <v>107.995147193695</v>
      </c>
      <c r="C10" s="30" t="n">
        <v>557.0082</v>
      </c>
    </row>
    <row r="11" customFormat="false" ht="13.5" hidden="false" customHeight="false" outlineLevel="0" collapsed="false">
      <c r="A11" s="0" t="s">
        <v>239</v>
      </c>
      <c r="B11" s="30" t="n">
        <v>30.8557563410557</v>
      </c>
      <c r="C11" s="30" t="n">
        <v>514.3544</v>
      </c>
    </row>
    <row r="12" customFormat="false" ht="13.5" hidden="false" customHeight="false" outlineLevel="0" collapsed="false">
      <c r="A12" s="0" t="s">
        <v>242</v>
      </c>
      <c r="B12" s="30" t="n">
        <v>61.7115126821113</v>
      </c>
      <c r="C12" s="30" t="n">
        <v>538.4022</v>
      </c>
    </row>
    <row r="13" customFormat="false" ht="13.5" hidden="false" customHeight="false" outlineLevel="0" collapsed="false">
      <c r="A13" s="0" t="s">
        <v>336</v>
      </c>
      <c r="B13" s="30" t="n">
        <v>61.7115126821113</v>
      </c>
      <c r="C13" s="30" t="n">
        <v>247.5032</v>
      </c>
    </row>
    <row r="14" customFormat="false" ht="13.5" hidden="false" customHeight="false" outlineLevel="0" collapsed="false">
      <c r="A14" s="0" t="s">
        <v>248</v>
      </c>
      <c r="B14" s="30" t="n">
        <v>92.567269023167</v>
      </c>
      <c r="C14" s="30" t="n">
        <v>591.0212</v>
      </c>
    </row>
    <row r="15" customFormat="false" ht="13.5" hidden="false" customHeight="false" outlineLevel="0" collapsed="false">
      <c r="A15" s="0" t="s">
        <v>251</v>
      </c>
      <c r="B15" s="30" t="n">
        <v>77.1393908526392</v>
      </c>
      <c r="C15" s="30" t="n">
        <v>1094.6502</v>
      </c>
    </row>
    <row r="16" customFormat="false" ht="13.5" hidden="false" customHeight="false" outlineLevel="0" collapsed="false">
      <c r="A16" s="0" t="s">
        <v>254</v>
      </c>
      <c r="B16" s="30" t="n">
        <v>123.423025364223</v>
      </c>
      <c r="C16" s="30" t="n">
        <v>541.226</v>
      </c>
    </row>
    <row r="17" customFormat="false" ht="13.5" hidden="false" customHeight="false" outlineLevel="0" collapsed="false">
      <c r="A17" s="0" t="s">
        <v>258</v>
      </c>
      <c r="B17" s="30" t="n">
        <v>41.1410084547408</v>
      </c>
      <c r="C17" s="30" t="n">
        <v>290.0072</v>
      </c>
    </row>
    <row r="18" customFormat="false" ht="13.5" hidden="false" customHeight="false" outlineLevel="0" collapsed="false">
      <c r="A18" s="0" t="s">
        <v>261</v>
      </c>
      <c r="B18" s="30" t="n">
        <v>56.5688866252686</v>
      </c>
      <c r="C18" s="30" t="n">
        <v>238.0504</v>
      </c>
    </row>
    <row r="19" customFormat="false" ht="13.5" hidden="false" customHeight="false" outlineLevel="0" collapsed="false">
      <c r="A19" s="0" t="s">
        <v>264</v>
      </c>
      <c r="B19" s="30" t="n">
        <v>61.7115126821113</v>
      </c>
      <c r="C19" s="30" t="n">
        <v>439.2878</v>
      </c>
    </row>
    <row r="20" customFormat="false" ht="13.5" hidden="false" customHeight="false" outlineLevel="0" collapsed="false">
      <c r="A20" s="0" t="s">
        <v>267</v>
      </c>
      <c r="B20" s="30" t="n">
        <v>61.7115126821113</v>
      </c>
      <c r="C20" s="30" t="n">
        <v>352.2428</v>
      </c>
    </row>
    <row r="21" customFormat="false" ht="13.5" hidden="false" customHeight="false" outlineLevel="0" collapsed="false">
      <c r="A21" s="0" t="s">
        <v>270</v>
      </c>
      <c r="B21" s="30" t="n">
        <v>61.7115126821113</v>
      </c>
      <c r="C21" s="30" t="n">
        <v>527.8546</v>
      </c>
    </row>
    <row r="22" customFormat="false" ht="13.5" hidden="false" customHeight="false" outlineLevel="0" collapsed="false">
      <c r="A22" s="0" t="s">
        <v>273</v>
      </c>
      <c r="B22" s="30" t="n">
        <v>92.567269023167</v>
      </c>
      <c r="C22" s="30" t="n">
        <v>359.8504</v>
      </c>
    </row>
    <row r="23" customFormat="false" ht="13.5" hidden="false" customHeight="false" outlineLevel="0" collapsed="false">
      <c r="A23" s="0" t="s">
        <v>276</v>
      </c>
      <c r="B23" s="30" t="n">
        <v>123.423025364223</v>
      </c>
      <c r="C23" s="30" t="n">
        <v>670.243</v>
      </c>
    </row>
    <row r="24" customFormat="false" ht="13.5" hidden="false" customHeight="false" outlineLevel="0" collapsed="false">
      <c r="A24" s="0" t="s">
        <v>279</v>
      </c>
      <c r="B24" s="30" t="n">
        <v>30.8557563410557</v>
      </c>
      <c r="C24" s="30" t="n">
        <v>266.7812</v>
      </c>
    </row>
    <row r="25" customFormat="false" ht="13.5" hidden="false" customHeight="false" outlineLevel="0" collapsed="false">
      <c r="A25" s="0" t="s">
        <v>282</v>
      </c>
      <c r="B25" s="30" t="n">
        <v>30.8557563410557</v>
      </c>
      <c r="C25" s="30" t="n">
        <v>193.2938</v>
      </c>
    </row>
    <row r="26" customFormat="false" ht="13.5" hidden="false" customHeight="false" outlineLevel="0" collapsed="false">
      <c r="A26" s="0" t="s">
        <v>287</v>
      </c>
      <c r="B26" s="30" t="n">
        <v>48.8549475400047</v>
      </c>
      <c r="C26" s="30" t="n">
        <v>302.61</v>
      </c>
    </row>
    <row r="27" customFormat="false" ht="13.5" hidden="false" customHeight="false" outlineLevel="0" collapsed="false">
      <c r="A27" s="0" t="s">
        <v>293</v>
      </c>
      <c r="B27" s="30" t="n">
        <v>123.423025364223</v>
      </c>
      <c r="C27" s="30" t="n">
        <v>859.3368</v>
      </c>
    </row>
    <row r="28" customFormat="false" ht="13.5" hidden="false" customHeight="false" outlineLevel="0" collapsed="false">
      <c r="A28" s="0" t="s">
        <v>296</v>
      </c>
      <c r="B28" s="30" t="n">
        <v>98.7384202913781</v>
      </c>
      <c r="C28" s="30" t="n">
        <v>743.3174</v>
      </c>
    </row>
    <row r="29" customFormat="false" ht="13.5" hidden="false" customHeight="false" outlineLevel="0" collapsed="false">
      <c r="A29" s="0" t="s">
        <v>299</v>
      </c>
      <c r="B29" s="30" t="n">
        <v>74.568077824218</v>
      </c>
      <c r="C29" s="30" t="n">
        <v>749.5796</v>
      </c>
    </row>
    <row r="30" customFormat="false" ht="13.5" hidden="false" customHeight="false" outlineLevel="0" collapsed="false">
      <c r="A30" s="0" t="s">
        <v>302</v>
      </c>
      <c r="B30" s="30" t="n">
        <v>169.706659875806</v>
      </c>
      <c r="C30" s="30" t="n">
        <v>1081.8276</v>
      </c>
    </row>
  </sheetData>
  <printOptions headings="false" gridLines="false" gridLinesSet="true" horizontalCentered="false" verticalCentered="false"/>
  <pageMargins left="0" right="0" top="0.39375" bottom="0.39375" header="0.511811023622047" footer="0.511811023622047"/>
  <pageSetup paperSize="77" scale="100" fitToWidth="1" fitToHeight="1" pageOrder="overThenDown" orientation="landscape"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64</TotalTime>
  <Application>LibreOffice/7.3.6.2$Linux_X86_64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2017-11-19T16:31:38Z</dcterms:created>
  <dc:creator>Matthias Müller</dc:creator>
  <dc:description/>
  <dc:language>de-DE</dc:language>
  <cp:lastModifiedBy/>
  <cp:lastPrinted>2022-04-14T12:18:29Z</cp:lastPrinted>
  <dcterms:modified xsi:type="dcterms:W3CDTF">2022-11-01T09:51:30Z</dcterms:modified>
  <cp:revision>275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yperlinksChanged">
    <vt:bool>0</vt:bool>
  </property>
  <property fmtid="{D5CDD505-2E9C-101B-9397-08002B2CF9AE}" pid="3" name="LinksUpToDate">
    <vt:bool>0</vt:bool>
  </property>
  <property fmtid="{D5CDD505-2E9C-101B-9397-08002B2CF9AE}" pid="4" name="ScaleCrop">
    <vt:bool>0</vt:bool>
  </property>
  <property fmtid="{D5CDD505-2E9C-101B-9397-08002B2CF9AE}" pid="5" name="ShareDoc">
    <vt:bool>0</vt:bool>
  </property>
</Properties>
</file>